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Anopa\Downloads\"/>
    </mc:Choice>
  </mc:AlternateContent>
  <xr:revisionPtr revIDLastSave="0" documentId="13_ncr:1_{F63F5CE9-66E7-4D32-BEE1-3AA45B5FDC89}" xr6:coauthVersionLast="47" xr6:coauthVersionMax="47" xr10:uidLastSave="{00000000-0000-0000-0000-000000000000}"/>
  <bookViews>
    <workbookView xWindow="-120" yWindow="-120" windowWidth="19440" windowHeight="10440" activeTab="1" xr2:uid="{00000000-000D-0000-FFFF-FFFF00000000}"/>
  </bookViews>
  <sheets>
    <sheet name="Verticals" sheetId="1" r:id="rId1"/>
    <sheet name="Chain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6" roundtripDataChecksum="TW/HQKlye+ijNcaZYJ2zXZi1TlNCsfjymMQCjNSW58o="/>
    </ext>
  </extLst>
</workbook>
</file>

<file path=xl/calcChain.xml><?xml version="1.0" encoding="utf-8"?>
<calcChain xmlns="http://schemas.openxmlformats.org/spreadsheetml/2006/main">
  <c r="P9" i="1" l="1"/>
  <c r="P8" i="1"/>
  <c r="P7" i="1"/>
  <c r="P6" i="1"/>
  <c r="P5" i="1"/>
  <c r="P4" i="1"/>
  <c r="P3" i="1"/>
</calcChain>
</file>

<file path=xl/sharedStrings.xml><?xml version="1.0" encoding="utf-8"?>
<sst xmlns="http://schemas.openxmlformats.org/spreadsheetml/2006/main" count="159" uniqueCount="72">
  <si>
    <t>Order Billing Local Order Month</t>
  </si>
  <si>
    <t>January</t>
  </si>
  <si>
    <t>February</t>
  </si>
  <si>
    <t>March</t>
  </si>
  <si>
    <t>April</t>
  </si>
  <si>
    <t>Order Vertical</t>
  </si>
  <si>
    <t>Order Successful Orders</t>
  </si>
  <si>
    <t>Order No. of Customers (Total)</t>
  </si>
  <si>
    <t>Order Activity Rate</t>
  </si>
  <si>
    <t>Order Logistics (TGO) Avg. Actual Delivery Time (Mins)</t>
  </si>
  <si>
    <t>Order Logistics (TGO) Order Late &gt;10mins Percentage</t>
  </si>
  <si>
    <t>Order Overall Failed Orders</t>
  </si>
  <si>
    <t>food</t>
  </si>
  <si>
    <t>grocery</t>
  </si>
  <si>
    <t>pharmacy</t>
  </si>
  <si>
    <t>flowers</t>
  </si>
  <si>
    <t>electronics</t>
  </si>
  <si>
    <t>cosmetics</t>
  </si>
  <si>
    <t>pet shop</t>
  </si>
  <si>
    <t>Chain Attributes Chain Name</t>
  </si>
  <si>
    <t>Brand A</t>
  </si>
  <si>
    <t>Brand B</t>
  </si>
  <si>
    <t>Brand C</t>
  </si>
  <si>
    <t xml:space="preserve">Brand D </t>
  </si>
  <si>
    <t>Brand E</t>
  </si>
  <si>
    <t>Brand F</t>
  </si>
  <si>
    <t>Brand G</t>
  </si>
  <si>
    <t>Brand H</t>
  </si>
  <si>
    <t>Brand I</t>
  </si>
  <si>
    <t xml:space="preserve">Brand J </t>
  </si>
  <si>
    <t>Brand K</t>
  </si>
  <si>
    <t>Brand L</t>
  </si>
  <si>
    <t>Brand M</t>
  </si>
  <si>
    <t>Brand N</t>
  </si>
  <si>
    <t>Brand O</t>
  </si>
  <si>
    <t>Brand P</t>
  </si>
  <si>
    <t>Brand Q</t>
  </si>
  <si>
    <t>Brand R</t>
  </si>
  <si>
    <t>Brand S</t>
  </si>
  <si>
    <t>Brand T</t>
  </si>
  <si>
    <t>Brand U</t>
  </si>
  <si>
    <t>Brand V</t>
  </si>
  <si>
    <t>Brand W</t>
  </si>
  <si>
    <t>Brand X</t>
  </si>
  <si>
    <t>Brand Y</t>
  </si>
  <si>
    <t>Brand Z</t>
  </si>
  <si>
    <t>Brand A2</t>
  </si>
  <si>
    <t>Brand B2</t>
  </si>
  <si>
    <t>Brand C2</t>
  </si>
  <si>
    <t>Brand D2</t>
  </si>
  <si>
    <t>Brand E2</t>
  </si>
  <si>
    <t>Brand F2</t>
  </si>
  <si>
    <t>Brand G2</t>
  </si>
  <si>
    <t>Brand H2</t>
  </si>
  <si>
    <t>Brand I2</t>
  </si>
  <si>
    <t>Brand J2</t>
  </si>
  <si>
    <t>Brand K2</t>
  </si>
  <si>
    <t>Brand L2</t>
  </si>
  <si>
    <t>Brand M2</t>
  </si>
  <si>
    <t>Brand N2</t>
  </si>
  <si>
    <t>Brand O2</t>
  </si>
  <si>
    <t>Brand P2</t>
  </si>
  <si>
    <t>Brand Q2</t>
  </si>
  <si>
    <t>Brand R2</t>
  </si>
  <si>
    <t>Brand S2</t>
  </si>
  <si>
    <t>Brand T2</t>
  </si>
  <si>
    <t>Brand U2</t>
  </si>
  <si>
    <t>Brand V2</t>
  </si>
  <si>
    <t>Brand W2</t>
  </si>
  <si>
    <t>Brand X2</t>
  </si>
  <si>
    <t>Brand Y2</t>
  </si>
  <si>
    <t>Brand Z2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</si>
</sst>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%"/>
  </numFmts>
  <fonts count="4" x14ac:knownFonts="1">
    <font>
      <sz val="11"/>
      <color theme="1"/>
      <name val="Calibri"/>
      <scheme val="minor"/>
    </font>
    <font>
      <sz val="11"/>
      <color theme="1"/>
      <name val="Calibri"/>
      <scheme val="minor"/>
    </font>
    <font>
      <sz val="11"/>
      <color theme="1"/>
      <name val="Calibri"/>
    </font>
    <font>
      <sz val="8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9A9A9A"/>
      </left>
      <right style="thin">
        <color rgb="FF9A9A9A"/>
      </right>
      <top style="thin">
        <color rgb="FF9A9A9A"/>
      </top>
      <bottom style="thin">
        <color rgb="FF9A9A9A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3" fontId="2" fillId="0" borderId="0" xfId="0" applyNumberFormat="1" applyFont="1"/>
    <xf numFmtId="4" fontId="2" fillId="0" borderId="0" xfId="0" applyNumberFormat="1" applyFont="1"/>
    <xf numFmtId="164" fontId="2" fillId="0" borderId="0" xfId="0" applyNumberFormat="1" applyFont="1"/>
    <xf numFmtId="0" fontId="3" fillId="0" borderId="1" xfId="0" applyFont="1" applyBorder="1"/>
    <xf numFmtId="0" fontId="3" fillId="0" borderId="1" xfId="0" applyFont="1" applyBorder="1" applyAlignment="1">
      <alignment wrapText="1"/>
    </xf>
    <xf numFmtId="3" fontId="3" fillId="0" borderId="1" xfId="0" applyNumberFormat="1" applyFont="1" applyBorder="1"/>
    <xf numFmtId="10" fontId="3" fillId="0" borderId="1" xfId="0" applyNumberFormat="1" applyFont="1" applyBorder="1"/>
    <xf numFmtId="0" fontId="1" fillId="0" borderId="2" xfId="0" applyFont="1" applyBorder="1"/>
    <xf numFmtId="3" fontId="2" fillId="0" borderId="2" xfId="0" applyNumberFormat="1" applyFont="1" applyBorder="1"/>
    <xf numFmtId="4" fontId="2" fillId="0" borderId="2" xfId="0" applyNumberFormat="1" applyFont="1" applyBorder="1"/>
    <xf numFmtId="164" fontId="2" fillId="0" borderId="2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0" Type="http://schemas.openxmlformats.org/officeDocument/2006/relationships/calcChain" Target="calcChain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1000"/>
  <sheetViews>
    <sheetView workbookViewId="0">
      <selection sqref="A1:Y1048576"/>
    </sheetView>
  </sheetViews>
  <sheetFormatPr defaultColWidth="14.42578125" defaultRowHeight="15" customHeight="1" x14ac:dyDescent="0.25"/>
  <cols>
    <col min="1" max="1" width="29.42578125" bestFit="1" customWidth="1"/>
    <col min="2" max="2" width="22.5703125" bestFit="1" customWidth="1"/>
    <col min="3" max="3" width="28.7109375" bestFit="1" customWidth="1"/>
    <col min="4" max="4" width="18" bestFit="1" customWidth="1"/>
    <col min="5" max="5" width="50" bestFit="1" customWidth="1"/>
    <col min="6" max="6" width="48.7109375" bestFit="1" customWidth="1"/>
    <col min="7" max="7" width="25.85546875" bestFit="1" customWidth="1"/>
    <col min="8" max="8" width="22.5703125" bestFit="1" customWidth="1"/>
    <col min="9" max="9" width="28.7109375" bestFit="1" customWidth="1"/>
    <col min="10" max="10" width="18" bestFit="1" customWidth="1"/>
    <col min="11" max="11" width="50" bestFit="1" customWidth="1"/>
    <col min="12" max="12" width="48.7109375" bestFit="1" customWidth="1"/>
    <col min="13" max="13" width="25.85546875" bestFit="1" customWidth="1"/>
    <col min="14" max="14" width="22.5703125" bestFit="1" customWidth="1"/>
    <col min="15" max="15" width="28.7109375" bestFit="1" customWidth="1"/>
    <col min="16" max="16" width="18" bestFit="1" customWidth="1"/>
    <col min="17" max="17" width="50" bestFit="1" customWidth="1"/>
    <col min="18" max="18" width="48.7109375" bestFit="1" customWidth="1"/>
    <col min="19" max="19" width="25.85546875" bestFit="1" customWidth="1"/>
    <col min="20" max="20" width="22.5703125" bestFit="1" customWidth="1"/>
    <col min="21" max="21" width="28.7109375" bestFit="1" customWidth="1"/>
    <col min="22" max="22" width="18" bestFit="1" customWidth="1"/>
    <col min="23" max="23" width="50" bestFit="1" customWidth="1"/>
    <col min="24" max="24" width="48.7109375" bestFit="1" customWidth="1"/>
    <col min="25" max="25" width="25.85546875" bestFit="1" customWidth="1"/>
  </cols>
  <sheetData>
    <row r="1" spans="1:25" x14ac:dyDescent="0.25">
      <c r="A1" s="8" t="s">
        <v>0</v>
      </c>
      <c r="B1" s="8" t="s">
        <v>1</v>
      </c>
      <c r="C1" s="8" t="s">
        <v>1</v>
      </c>
      <c r="D1" s="8" t="s">
        <v>1</v>
      </c>
      <c r="E1" s="8" t="s">
        <v>1</v>
      </c>
      <c r="F1" s="8" t="s">
        <v>1</v>
      </c>
      <c r="G1" s="8" t="s">
        <v>1</v>
      </c>
      <c r="H1" s="8" t="s">
        <v>2</v>
      </c>
      <c r="I1" s="8" t="s">
        <v>2</v>
      </c>
      <c r="J1" s="8" t="s">
        <v>2</v>
      </c>
      <c r="K1" s="8" t="s">
        <v>2</v>
      </c>
      <c r="L1" s="8" t="s">
        <v>2</v>
      </c>
      <c r="M1" s="8" t="s">
        <v>2</v>
      </c>
      <c r="N1" s="8" t="s">
        <v>3</v>
      </c>
      <c r="O1" s="8" t="s">
        <v>3</v>
      </c>
      <c r="P1" s="8" t="s">
        <v>3</v>
      </c>
      <c r="Q1" s="8" t="s">
        <v>3</v>
      </c>
      <c r="R1" s="8" t="s">
        <v>3</v>
      </c>
      <c r="S1" s="8" t="s">
        <v>3</v>
      </c>
      <c r="T1" s="8" t="s">
        <v>4</v>
      </c>
      <c r="U1" s="8" t="s">
        <v>4</v>
      </c>
      <c r="V1" s="8" t="s">
        <v>4</v>
      </c>
      <c r="W1" s="8" t="s">
        <v>4</v>
      </c>
      <c r="X1" s="8" t="s">
        <v>4</v>
      </c>
      <c r="Y1" s="8" t="s">
        <v>4</v>
      </c>
    </row>
    <row r="2" spans="1:25" x14ac:dyDescent="0.25">
      <c r="A2" s="8" t="s">
        <v>5</v>
      </c>
      <c r="B2" s="8" t="s">
        <v>6</v>
      </c>
      <c r="C2" s="8" t="s">
        <v>7</v>
      </c>
      <c r="D2" s="8" t="s">
        <v>8</v>
      </c>
      <c r="E2" s="8" t="s">
        <v>9</v>
      </c>
      <c r="F2" s="8" t="s">
        <v>10</v>
      </c>
      <c r="G2" s="8" t="s">
        <v>11</v>
      </c>
      <c r="H2" s="8" t="s">
        <v>6</v>
      </c>
      <c r="I2" s="8" t="s">
        <v>7</v>
      </c>
      <c r="J2" s="8" t="s">
        <v>8</v>
      </c>
      <c r="K2" s="8" t="s">
        <v>9</v>
      </c>
      <c r="L2" s="8" t="s">
        <v>10</v>
      </c>
      <c r="M2" s="8" t="s">
        <v>11</v>
      </c>
      <c r="N2" s="8" t="s">
        <v>6</v>
      </c>
      <c r="O2" s="8" t="s">
        <v>7</v>
      </c>
      <c r="P2" s="8" t="s">
        <v>8</v>
      </c>
      <c r="Q2" s="8" t="s">
        <v>9</v>
      </c>
      <c r="R2" s="8" t="s">
        <v>10</v>
      </c>
      <c r="S2" s="8" t="s">
        <v>11</v>
      </c>
      <c r="T2" s="8" t="s">
        <v>6</v>
      </c>
      <c r="U2" s="8" t="s">
        <v>7</v>
      </c>
      <c r="V2" s="8" t="s">
        <v>8</v>
      </c>
      <c r="W2" s="8" t="s">
        <v>9</v>
      </c>
      <c r="X2" s="8" t="s">
        <v>10</v>
      </c>
      <c r="Y2" s="8" t="s">
        <v>11</v>
      </c>
    </row>
    <row r="3" spans="1:25" x14ac:dyDescent="0.25">
      <c r="A3" s="8" t="s">
        <v>12</v>
      </c>
      <c r="B3" s="9">
        <v>212436</v>
      </c>
      <c r="C3" s="9">
        <v>35200</v>
      </c>
      <c r="D3" s="10">
        <v>6.0351136363636364</v>
      </c>
      <c r="E3" s="10">
        <v>31.94468217166985</v>
      </c>
      <c r="F3" s="11">
        <v>8.5062207380013841E-2</v>
      </c>
      <c r="G3" s="9">
        <v>66073</v>
      </c>
      <c r="H3" s="9">
        <v>208002</v>
      </c>
      <c r="I3" s="9">
        <v>34164</v>
      </c>
      <c r="J3" s="10">
        <v>6.0883386020372319</v>
      </c>
      <c r="K3" s="10">
        <v>30.895529555230578</v>
      </c>
      <c r="L3" s="11">
        <v>0.12247690562401146</v>
      </c>
      <c r="M3" s="9">
        <v>54170</v>
      </c>
      <c r="N3" s="9">
        <v>295371</v>
      </c>
      <c r="O3" s="9">
        <v>51224</v>
      </c>
      <c r="P3" s="10">
        <f t="shared" ref="P3:P9" si="0">N3/O3</f>
        <v>5.7662619084803994</v>
      </c>
      <c r="Q3" s="10">
        <v>31.691440380608384</v>
      </c>
      <c r="R3" s="11">
        <v>0.10937298606635704</v>
      </c>
      <c r="S3" s="9">
        <v>63850</v>
      </c>
      <c r="T3" s="9">
        <v>336797</v>
      </c>
      <c r="U3" s="9">
        <v>31898</v>
      </c>
      <c r="V3" s="10">
        <v>10.55856166530817</v>
      </c>
      <c r="W3" s="10">
        <v>30.466971892341629</v>
      </c>
      <c r="X3" s="11">
        <v>8.5057248102406016E-2</v>
      </c>
      <c r="Y3" s="9">
        <v>54464</v>
      </c>
    </row>
    <row r="4" spans="1:25" x14ac:dyDescent="0.25">
      <c r="A4" s="8" t="s">
        <v>13</v>
      </c>
      <c r="B4" s="9">
        <v>53042</v>
      </c>
      <c r="C4" s="9">
        <v>8556</v>
      </c>
      <c r="D4" s="10">
        <v>6.1993922393641885</v>
      </c>
      <c r="E4" s="10">
        <v>47.142397686650462</v>
      </c>
      <c r="F4" s="11">
        <v>0.18998816710455066</v>
      </c>
      <c r="G4" s="9">
        <v>12572</v>
      </c>
      <c r="H4" s="9">
        <v>53883</v>
      </c>
      <c r="I4" s="9">
        <v>7947</v>
      </c>
      <c r="J4" s="10">
        <v>6.7802944507361271</v>
      </c>
      <c r="K4" s="10">
        <v>42.186635284858532</v>
      </c>
      <c r="L4" s="11">
        <v>0.20233241581986383</v>
      </c>
      <c r="M4" s="9">
        <v>8413</v>
      </c>
      <c r="N4" s="9">
        <v>55298</v>
      </c>
      <c r="O4" s="9">
        <v>8031</v>
      </c>
      <c r="P4" s="10">
        <f t="shared" si="0"/>
        <v>6.8855684223633418</v>
      </c>
      <c r="Q4" s="10">
        <v>41.234716434280827</v>
      </c>
      <c r="R4" s="11">
        <v>0.17623873105931451</v>
      </c>
      <c r="S4" s="9">
        <v>10682</v>
      </c>
      <c r="T4" s="9">
        <v>63518</v>
      </c>
      <c r="U4" s="9">
        <v>8301</v>
      </c>
      <c r="V4" s="10">
        <v>7.6518491747982171</v>
      </c>
      <c r="W4" s="10">
        <v>38.79765061943273</v>
      </c>
      <c r="X4" s="11">
        <v>0.13912308629601242</v>
      </c>
      <c r="Y4" s="9">
        <v>11970</v>
      </c>
    </row>
    <row r="5" spans="1:25" x14ac:dyDescent="0.25">
      <c r="A5" s="8" t="s">
        <v>14</v>
      </c>
      <c r="B5" s="9">
        <v>10788</v>
      </c>
      <c r="C5" s="9">
        <v>4072</v>
      </c>
      <c r="D5" s="10">
        <v>2.6493123772102161</v>
      </c>
      <c r="E5" s="10">
        <v>30.646602066367876</v>
      </c>
      <c r="F5" s="11">
        <v>0.11639737085179583</v>
      </c>
      <c r="G5" s="9">
        <v>5207</v>
      </c>
      <c r="H5" s="9">
        <v>4978</v>
      </c>
      <c r="I5" s="9">
        <v>2988</v>
      </c>
      <c r="J5" s="10">
        <v>1.6659973226238287</v>
      </c>
      <c r="K5" s="10">
        <v>30.142526011745176</v>
      </c>
      <c r="L5" s="11">
        <v>0.19602495138520595</v>
      </c>
      <c r="M5" s="9">
        <v>2304</v>
      </c>
      <c r="N5" s="9">
        <v>5248</v>
      </c>
      <c r="O5" s="9">
        <v>2378</v>
      </c>
      <c r="P5" s="10">
        <f t="shared" si="0"/>
        <v>2.2068965517241379</v>
      </c>
      <c r="Q5" s="10">
        <v>32.789694652899257</v>
      </c>
      <c r="R5" s="11">
        <v>0.2067640968700297</v>
      </c>
      <c r="S5" s="9">
        <v>2437</v>
      </c>
      <c r="T5" s="9">
        <v>3122</v>
      </c>
      <c r="U5" s="9">
        <v>2751</v>
      </c>
      <c r="V5" s="10">
        <v>1.1348600508905853</v>
      </c>
      <c r="W5" s="10">
        <v>27.81124162159665</v>
      </c>
      <c r="X5" s="11">
        <v>9.6410560664491246E-2</v>
      </c>
      <c r="Y5" s="9">
        <v>2476</v>
      </c>
    </row>
    <row r="6" spans="1:25" x14ac:dyDescent="0.25">
      <c r="A6" s="8" t="s">
        <v>15</v>
      </c>
      <c r="B6" s="9">
        <v>656</v>
      </c>
      <c r="C6" s="9">
        <v>295</v>
      </c>
      <c r="D6" s="10">
        <v>2.2237288135593221</v>
      </c>
      <c r="E6" s="10">
        <v>46.30195772154535</v>
      </c>
      <c r="F6" s="11">
        <v>0</v>
      </c>
      <c r="G6" s="9">
        <v>503</v>
      </c>
      <c r="H6" s="9">
        <v>2882</v>
      </c>
      <c r="I6" s="9">
        <v>717</v>
      </c>
      <c r="J6" s="10">
        <v>4.0195258019525806</v>
      </c>
      <c r="K6" s="10">
        <v>69.386825022130438</v>
      </c>
      <c r="L6" s="11">
        <v>0</v>
      </c>
      <c r="M6" s="9">
        <v>1018</v>
      </c>
      <c r="N6" s="9">
        <v>1513</v>
      </c>
      <c r="O6" s="9">
        <v>9086</v>
      </c>
      <c r="P6" s="10">
        <f t="shared" si="0"/>
        <v>0.16651992075720889</v>
      </c>
      <c r="Q6" s="10">
        <v>59.72147404236636</v>
      </c>
      <c r="R6" s="11">
        <v>0</v>
      </c>
      <c r="S6" s="9">
        <v>996</v>
      </c>
      <c r="T6" s="9">
        <v>6747</v>
      </c>
      <c r="U6" s="9">
        <v>5822</v>
      </c>
      <c r="V6" s="10">
        <v>1.1588801099278598</v>
      </c>
      <c r="W6" s="10">
        <v>52.752756996397906</v>
      </c>
      <c r="X6" s="11">
        <v>0</v>
      </c>
      <c r="Y6" s="9">
        <v>620</v>
      </c>
    </row>
    <row r="7" spans="1:25" x14ac:dyDescent="0.25">
      <c r="A7" s="8" t="s">
        <v>16</v>
      </c>
      <c r="B7" s="9">
        <v>515</v>
      </c>
      <c r="C7" s="9">
        <v>745</v>
      </c>
      <c r="D7" s="10">
        <v>0.6912751677852349</v>
      </c>
      <c r="E7" s="10">
        <v>32.486095372993397</v>
      </c>
      <c r="F7" s="11">
        <v>0.11467889908256881</v>
      </c>
      <c r="G7" s="9">
        <v>463</v>
      </c>
      <c r="H7" s="9">
        <v>464</v>
      </c>
      <c r="I7" s="9">
        <v>566</v>
      </c>
      <c r="J7" s="10">
        <v>0.81978798586572443</v>
      </c>
      <c r="K7" s="10">
        <v>32.768456308738251</v>
      </c>
      <c r="L7" s="11">
        <v>0.11011523687580026</v>
      </c>
      <c r="M7" s="9">
        <v>324</v>
      </c>
      <c r="N7" s="9">
        <v>833</v>
      </c>
      <c r="O7" s="9">
        <v>452</v>
      </c>
      <c r="P7" s="10">
        <f t="shared" si="0"/>
        <v>1.8429203539823009</v>
      </c>
      <c r="Q7" s="10">
        <v>32.008417151932235</v>
      </c>
      <c r="R7" s="11">
        <v>9.274873524451939E-2</v>
      </c>
      <c r="S7" s="9">
        <v>386</v>
      </c>
      <c r="T7" s="9">
        <v>485</v>
      </c>
      <c r="U7" s="9">
        <v>364</v>
      </c>
      <c r="V7" s="10">
        <v>1.3324175824175823</v>
      </c>
      <c r="W7" s="10">
        <v>28.168993710691819</v>
      </c>
      <c r="X7" s="11">
        <v>5.3964023984010658E-2</v>
      </c>
      <c r="Y7" s="9">
        <v>333</v>
      </c>
    </row>
    <row r="8" spans="1:25" x14ac:dyDescent="0.25">
      <c r="A8" s="8" t="s">
        <v>17</v>
      </c>
      <c r="B8" s="9">
        <v>179</v>
      </c>
      <c r="C8" s="9">
        <v>168</v>
      </c>
      <c r="D8" s="10">
        <v>1.0654761904761905</v>
      </c>
      <c r="E8" s="10">
        <v>28.578041074249594</v>
      </c>
      <c r="F8" s="11">
        <v>0.1404494382022472</v>
      </c>
      <c r="G8" s="9">
        <v>20</v>
      </c>
      <c r="H8" s="9">
        <v>449</v>
      </c>
      <c r="I8" s="9">
        <v>347</v>
      </c>
      <c r="J8" s="10">
        <v>1.2939481268011528</v>
      </c>
      <c r="K8" s="10">
        <v>26.854432624113475</v>
      </c>
      <c r="L8" s="11">
        <v>8.7209302325581398E-2</v>
      </c>
      <c r="M8" s="9">
        <v>18</v>
      </c>
      <c r="N8" s="9">
        <v>544</v>
      </c>
      <c r="O8" s="9">
        <v>418</v>
      </c>
      <c r="P8" s="10">
        <f t="shared" si="0"/>
        <v>1.3014354066985645</v>
      </c>
      <c r="Q8" s="10">
        <v>28.49771929824561</v>
      </c>
      <c r="R8" s="11">
        <v>0.10843373493975904</v>
      </c>
      <c r="S8" s="9">
        <v>28</v>
      </c>
      <c r="T8" s="9">
        <v>275</v>
      </c>
      <c r="U8" s="9">
        <v>261</v>
      </c>
      <c r="V8" s="10">
        <v>1.053639846743295</v>
      </c>
      <c r="W8" s="10">
        <v>27.100231481481483</v>
      </c>
      <c r="X8" s="11">
        <v>7.2916666666666671E-2</v>
      </c>
      <c r="Y8" s="9">
        <v>33</v>
      </c>
    </row>
    <row r="9" spans="1:25" x14ac:dyDescent="0.25">
      <c r="A9" s="8" t="s">
        <v>18</v>
      </c>
      <c r="B9" s="9">
        <v>65</v>
      </c>
      <c r="C9" s="9">
        <v>56</v>
      </c>
      <c r="D9" s="10">
        <v>1.1607142857142858</v>
      </c>
      <c r="E9" s="10">
        <v>28.060945273631837</v>
      </c>
      <c r="F9" s="11">
        <v>6.0606060606060608E-2</v>
      </c>
      <c r="G9" s="9">
        <v>2</v>
      </c>
      <c r="H9" s="9">
        <v>59</v>
      </c>
      <c r="I9" s="9">
        <v>55</v>
      </c>
      <c r="J9" s="10">
        <v>1.0727272727272728</v>
      </c>
      <c r="K9" s="10">
        <v>27.505970149253727</v>
      </c>
      <c r="L9" s="11">
        <v>6.7796610169491525E-2</v>
      </c>
      <c r="M9" s="9">
        <v>9</v>
      </c>
      <c r="N9" s="9">
        <v>83</v>
      </c>
      <c r="O9" s="9">
        <v>70</v>
      </c>
      <c r="P9" s="10">
        <f t="shared" si="0"/>
        <v>1.1857142857142857</v>
      </c>
      <c r="Q9" s="10">
        <v>28.232065217391302</v>
      </c>
      <c r="R9" s="11">
        <v>8.4337349397590355E-2</v>
      </c>
      <c r="S9" s="9">
        <v>10</v>
      </c>
      <c r="T9" s="9">
        <v>70</v>
      </c>
      <c r="U9" s="9">
        <v>61</v>
      </c>
      <c r="V9" s="10">
        <v>1.1475409836065573</v>
      </c>
      <c r="W9" s="10">
        <v>30.240598290598289</v>
      </c>
      <c r="X9" s="11">
        <v>5.7142857142857141E-2</v>
      </c>
      <c r="Y9" s="9">
        <v>8</v>
      </c>
    </row>
    <row r="10" spans="1:25" x14ac:dyDescent="0.25">
      <c r="B10" s="1"/>
      <c r="C10" s="1"/>
      <c r="D10" s="2"/>
      <c r="E10" s="2"/>
      <c r="F10" s="3"/>
      <c r="G10" s="1"/>
      <c r="H10" s="1"/>
      <c r="I10" s="1"/>
      <c r="J10" s="2"/>
      <c r="K10" s="2"/>
      <c r="L10" s="3"/>
      <c r="M10" s="1"/>
      <c r="N10" s="1"/>
      <c r="O10" s="1"/>
      <c r="P10" s="2"/>
      <c r="Q10" s="2"/>
      <c r="R10" s="3"/>
      <c r="S10" s="1"/>
      <c r="T10" s="1"/>
      <c r="U10" s="1"/>
      <c r="V10" s="2"/>
      <c r="W10" s="2"/>
      <c r="X10" s="3"/>
      <c r="Y10" s="1"/>
    </row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Y54"/>
  <sheetViews>
    <sheetView tabSelected="1" workbookViewId="0"/>
  </sheetViews>
  <sheetFormatPr defaultColWidth="14.42578125" defaultRowHeight="15" customHeight="1" x14ac:dyDescent="0.25"/>
  <sheetData>
    <row r="1" spans="1:25" x14ac:dyDescent="0.25">
      <c r="A1" s="4" t="s">
        <v>0</v>
      </c>
      <c r="B1" s="4" t="s">
        <v>1</v>
      </c>
      <c r="C1" s="4" t="s">
        <v>1</v>
      </c>
      <c r="D1" s="4" t="s">
        <v>1</v>
      </c>
      <c r="E1" s="4" t="s">
        <v>1</v>
      </c>
      <c r="F1" s="4" t="s">
        <v>1</v>
      </c>
      <c r="G1" s="4" t="s">
        <v>1</v>
      </c>
      <c r="H1" s="4" t="s">
        <v>2</v>
      </c>
      <c r="I1" s="4" t="s">
        <v>2</v>
      </c>
      <c r="J1" s="4" t="s">
        <v>2</v>
      </c>
      <c r="K1" s="4" t="s">
        <v>2</v>
      </c>
      <c r="L1" s="4" t="s">
        <v>2</v>
      </c>
      <c r="M1" s="4" t="s">
        <v>2</v>
      </c>
      <c r="N1" s="4" t="s">
        <v>3</v>
      </c>
      <c r="O1" s="4" t="s">
        <v>3</v>
      </c>
      <c r="P1" s="4" t="s">
        <v>3</v>
      </c>
      <c r="Q1" s="4" t="s">
        <v>3</v>
      </c>
      <c r="R1" s="4" t="s">
        <v>3</v>
      </c>
      <c r="S1" s="4" t="s">
        <v>3</v>
      </c>
      <c r="T1" s="4" t="s">
        <v>4</v>
      </c>
      <c r="U1" s="4" t="s">
        <v>4</v>
      </c>
      <c r="V1" s="4" t="s">
        <v>4</v>
      </c>
      <c r="W1" s="4" t="s">
        <v>4</v>
      </c>
      <c r="X1" s="4" t="s">
        <v>4</v>
      </c>
      <c r="Y1" s="4" t="s">
        <v>4</v>
      </c>
    </row>
    <row r="2" spans="1:25" ht="34.5" customHeight="1" x14ac:dyDescent="0.25">
      <c r="A2" s="5" t="s">
        <v>19</v>
      </c>
      <c r="B2" s="5" t="s">
        <v>6</v>
      </c>
      <c r="C2" s="5" t="s">
        <v>7</v>
      </c>
      <c r="D2" s="5" t="s">
        <v>8</v>
      </c>
      <c r="E2" s="5" t="s">
        <v>9</v>
      </c>
      <c r="F2" s="5" t="s">
        <v>10</v>
      </c>
      <c r="G2" s="5" t="s">
        <v>11</v>
      </c>
      <c r="H2" s="5" t="s">
        <v>6</v>
      </c>
      <c r="I2" s="5" t="s">
        <v>7</v>
      </c>
      <c r="J2" s="5" t="s">
        <v>8</v>
      </c>
      <c r="K2" s="5" t="s">
        <v>9</v>
      </c>
      <c r="L2" s="5" t="s">
        <v>10</v>
      </c>
      <c r="M2" s="5" t="s">
        <v>11</v>
      </c>
      <c r="N2" s="5" t="s">
        <v>6</v>
      </c>
      <c r="O2" s="5" t="s">
        <v>7</v>
      </c>
      <c r="P2" s="5" t="s">
        <v>8</v>
      </c>
      <c r="Q2" s="5" t="s">
        <v>9</v>
      </c>
      <c r="R2" s="5" t="s">
        <v>10</v>
      </c>
      <c r="S2" s="5" t="s">
        <v>11</v>
      </c>
      <c r="T2" s="5" t="s">
        <v>6</v>
      </c>
      <c r="U2" s="5" t="s">
        <v>7</v>
      </c>
      <c r="V2" s="5" t="s">
        <v>8</v>
      </c>
      <c r="W2" s="5" t="s">
        <v>9</v>
      </c>
      <c r="X2" s="5" t="s">
        <v>10</v>
      </c>
      <c r="Y2" s="5" t="s">
        <v>11</v>
      </c>
    </row>
    <row r="3" spans="1:25" x14ac:dyDescent="0.25">
      <c r="A3" s="4" t="s">
        <v>20</v>
      </c>
      <c r="B3" s="6">
        <v>224995</v>
      </c>
      <c r="C3" s="6">
        <v>105882</v>
      </c>
      <c r="D3" s="4">
        <v>2.15</v>
      </c>
      <c r="E3" s="4">
        <v>26.71</v>
      </c>
      <c r="F3" s="7">
        <v>7.5499999999999998E-2</v>
      </c>
      <c r="G3" s="6">
        <v>7767</v>
      </c>
      <c r="H3" s="6">
        <v>190262</v>
      </c>
      <c r="I3" s="6">
        <v>92641</v>
      </c>
      <c r="J3" s="4">
        <v>2.08</v>
      </c>
      <c r="K3" s="4">
        <v>25.75</v>
      </c>
      <c r="L3" s="7">
        <v>0.12920000000000001</v>
      </c>
      <c r="M3" s="6">
        <v>6023</v>
      </c>
      <c r="N3" s="6">
        <v>216951</v>
      </c>
      <c r="O3" s="6">
        <v>102048</v>
      </c>
      <c r="P3" s="4">
        <v>2.16</v>
      </c>
      <c r="Q3" s="4">
        <v>26.77</v>
      </c>
      <c r="R3" s="7">
        <v>0.1201</v>
      </c>
      <c r="S3" s="6">
        <v>8302</v>
      </c>
      <c r="T3" s="6">
        <v>170144</v>
      </c>
      <c r="U3" s="6">
        <v>86346</v>
      </c>
      <c r="V3" s="4">
        <v>2</v>
      </c>
      <c r="W3" s="4">
        <v>26.29</v>
      </c>
      <c r="X3" s="7">
        <v>0.1053</v>
      </c>
      <c r="Y3" s="6">
        <v>6033</v>
      </c>
    </row>
    <row r="4" spans="1:25" x14ac:dyDescent="0.25">
      <c r="A4" s="4" t="s">
        <v>21</v>
      </c>
      <c r="B4" s="6">
        <v>98489</v>
      </c>
      <c r="C4" s="6">
        <v>65159</v>
      </c>
      <c r="D4" s="4">
        <v>1.55</v>
      </c>
      <c r="E4" s="4">
        <v>35.46</v>
      </c>
      <c r="F4" s="7">
        <v>0.1736</v>
      </c>
      <c r="G4" s="6">
        <v>3285</v>
      </c>
      <c r="H4" s="6">
        <v>87488</v>
      </c>
      <c r="I4" s="6">
        <v>58085</v>
      </c>
      <c r="J4" s="4">
        <v>1.54</v>
      </c>
      <c r="K4" s="4">
        <v>37.82</v>
      </c>
      <c r="L4" s="7">
        <v>0.29199999999999998</v>
      </c>
      <c r="M4" s="6">
        <v>2658</v>
      </c>
      <c r="N4" s="6">
        <v>99928</v>
      </c>
      <c r="O4" s="6">
        <v>64067</v>
      </c>
      <c r="P4" s="4">
        <v>1.6</v>
      </c>
      <c r="Q4" s="4">
        <v>40.81</v>
      </c>
      <c r="R4" s="7">
        <v>0.25869999999999999</v>
      </c>
      <c r="S4" s="6">
        <v>3216</v>
      </c>
      <c r="T4" s="6">
        <v>69914</v>
      </c>
      <c r="U4" s="6">
        <v>48419</v>
      </c>
      <c r="V4" s="4">
        <v>1.49</v>
      </c>
      <c r="W4" s="4">
        <v>32.74</v>
      </c>
      <c r="X4" s="7">
        <v>8.6199999999999999E-2</v>
      </c>
      <c r="Y4" s="6">
        <v>2769</v>
      </c>
    </row>
    <row r="5" spans="1:25" x14ac:dyDescent="0.25">
      <c r="A5" s="4" t="s">
        <v>22</v>
      </c>
      <c r="B5" s="6">
        <v>68938</v>
      </c>
      <c r="C5" s="6">
        <v>50831</v>
      </c>
      <c r="D5" s="4">
        <v>1.37</v>
      </c>
      <c r="E5" s="4">
        <v>32.57</v>
      </c>
      <c r="F5" s="7">
        <v>5.9499999999999997E-2</v>
      </c>
      <c r="G5" s="6">
        <v>1109</v>
      </c>
      <c r="H5" s="6">
        <v>58632</v>
      </c>
      <c r="I5" s="6">
        <v>44472</v>
      </c>
      <c r="J5" s="4">
        <v>1.35</v>
      </c>
      <c r="K5" s="4">
        <v>31.76</v>
      </c>
      <c r="L5" s="7">
        <v>0.1123</v>
      </c>
      <c r="M5" s="6">
        <v>1970</v>
      </c>
      <c r="N5" s="6">
        <v>63195</v>
      </c>
      <c r="O5" s="6">
        <v>46694</v>
      </c>
      <c r="P5" s="4">
        <v>1.37</v>
      </c>
      <c r="Q5" s="4">
        <v>31.98</v>
      </c>
      <c r="R5" s="7">
        <v>9.3899999999999997E-2</v>
      </c>
      <c r="S5" s="6">
        <v>1246</v>
      </c>
      <c r="T5" s="6">
        <v>55616</v>
      </c>
      <c r="U5" s="6">
        <v>41337</v>
      </c>
      <c r="V5" s="4">
        <v>1.36</v>
      </c>
      <c r="W5" s="4">
        <v>29.57</v>
      </c>
      <c r="X5" s="7">
        <v>6.4000000000000001E-2</v>
      </c>
      <c r="Y5" s="6">
        <v>1032</v>
      </c>
    </row>
    <row r="6" spans="1:25" x14ac:dyDescent="0.25">
      <c r="A6" s="4" t="s">
        <v>23</v>
      </c>
      <c r="B6" s="6">
        <v>63794</v>
      </c>
      <c r="C6" s="6">
        <v>23423</v>
      </c>
      <c r="D6" s="4">
        <v>2.75</v>
      </c>
      <c r="E6" s="4">
        <v>25.46</v>
      </c>
      <c r="F6" s="7">
        <v>6.2199999999999998E-2</v>
      </c>
      <c r="G6" s="6">
        <v>1490</v>
      </c>
      <c r="H6" s="6">
        <v>56804</v>
      </c>
      <c r="I6" s="6">
        <v>21046</v>
      </c>
      <c r="J6" s="4">
        <v>2.73</v>
      </c>
      <c r="K6" s="4">
        <v>23.68</v>
      </c>
      <c r="L6" s="7">
        <v>8.8900000000000007E-2</v>
      </c>
      <c r="M6" s="6">
        <v>1279</v>
      </c>
      <c r="N6" s="6">
        <v>64451</v>
      </c>
      <c r="O6" s="6">
        <v>23020</v>
      </c>
      <c r="P6" s="4">
        <v>2.83</v>
      </c>
      <c r="Q6" s="4">
        <v>24.94</v>
      </c>
      <c r="R6" s="7">
        <v>8.2900000000000001E-2</v>
      </c>
      <c r="S6" s="6">
        <v>1548</v>
      </c>
      <c r="T6" s="6">
        <v>54368</v>
      </c>
      <c r="U6" s="6">
        <v>19941</v>
      </c>
      <c r="V6" s="4">
        <v>2.75</v>
      </c>
      <c r="W6" s="4">
        <v>22.33</v>
      </c>
      <c r="X6" s="7">
        <v>4.2700000000000002E-2</v>
      </c>
      <c r="Y6" s="6">
        <v>1105</v>
      </c>
    </row>
    <row r="7" spans="1:25" x14ac:dyDescent="0.25">
      <c r="A7" s="4" t="s">
        <v>24</v>
      </c>
      <c r="B7" s="6">
        <v>62564</v>
      </c>
      <c r="C7" s="6">
        <v>37319</v>
      </c>
      <c r="D7" s="4">
        <v>1.7</v>
      </c>
      <c r="E7" s="4">
        <v>29.4</v>
      </c>
      <c r="F7" s="7">
        <v>4.6800000000000001E-2</v>
      </c>
      <c r="G7" s="6">
        <v>1713</v>
      </c>
      <c r="H7" s="6">
        <v>47901</v>
      </c>
      <c r="I7" s="6">
        <v>29829</v>
      </c>
      <c r="J7" s="4">
        <v>1.62</v>
      </c>
      <c r="K7" s="4">
        <v>28.24</v>
      </c>
      <c r="L7" s="7">
        <v>7.9799999999999996E-2</v>
      </c>
      <c r="M7" s="6">
        <v>1182</v>
      </c>
      <c r="N7" s="6">
        <v>52527</v>
      </c>
      <c r="O7" s="6">
        <v>32483</v>
      </c>
      <c r="P7" s="4">
        <v>1.64</v>
      </c>
      <c r="Q7" s="4">
        <v>28.98</v>
      </c>
      <c r="R7" s="7">
        <v>6.8199999999999997E-2</v>
      </c>
      <c r="S7" s="6">
        <v>1442</v>
      </c>
      <c r="T7" s="6">
        <v>38321</v>
      </c>
      <c r="U7" s="6">
        <v>24596</v>
      </c>
      <c r="V7" s="4">
        <v>1.58</v>
      </c>
      <c r="W7" s="4">
        <v>26.06</v>
      </c>
      <c r="X7" s="7">
        <v>4.41E-2</v>
      </c>
      <c r="Y7" s="4">
        <v>990</v>
      </c>
    </row>
    <row r="8" spans="1:25" x14ac:dyDescent="0.25">
      <c r="A8" s="4" t="s">
        <v>25</v>
      </c>
      <c r="B8" s="6">
        <v>60155</v>
      </c>
      <c r="C8" s="6">
        <v>39277</v>
      </c>
      <c r="D8" s="4">
        <v>1.56</v>
      </c>
      <c r="E8" s="4">
        <v>27.49</v>
      </c>
      <c r="F8" s="7">
        <v>7.3499999999999996E-2</v>
      </c>
      <c r="G8" s="6">
        <v>1816</v>
      </c>
      <c r="H8" s="6">
        <v>49168</v>
      </c>
      <c r="I8" s="6">
        <v>31948</v>
      </c>
      <c r="J8" s="4">
        <v>1.56</v>
      </c>
      <c r="K8" s="4">
        <v>25.73</v>
      </c>
      <c r="L8" s="7">
        <v>0.10630000000000001</v>
      </c>
      <c r="M8" s="6">
        <v>1315</v>
      </c>
      <c r="N8" s="6">
        <v>53596</v>
      </c>
      <c r="O8" s="6">
        <v>34879</v>
      </c>
      <c r="P8" s="4">
        <v>1.56</v>
      </c>
      <c r="Q8" s="4">
        <v>26.87</v>
      </c>
      <c r="R8" s="7">
        <v>9.8599999999999993E-2</v>
      </c>
      <c r="S8" s="6">
        <v>1427</v>
      </c>
      <c r="T8" s="6">
        <v>42463</v>
      </c>
      <c r="U8" s="6">
        <v>29128</v>
      </c>
      <c r="V8" s="4">
        <v>1.49</v>
      </c>
      <c r="W8" s="4">
        <v>26.13</v>
      </c>
      <c r="X8" s="7">
        <v>6.8099999999999994E-2</v>
      </c>
      <c r="Y8" s="6">
        <v>1348</v>
      </c>
    </row>
    <row r="9" spans="1:25" x14ac:dyDescent="0.25">
      <c r="A9" s="4" t="s">
        <v>26</v>
      </c>
      <c r="B9" s="6">
        <v>22660</v>
      </c>
      <c r="C9" s="6">
        <v>15967</v>
      </c>
      <c r="D9" s="4">
        <v>1.44</v>
      </c>
      <c r="E9" s="4">
        <v>34.03</v>
      </c>
      <c r="F9" s="7">
        <v>0.1206</v>
      </c>
      <c r="G9" s="4">
        <v>555</v>
      </c>
      <c r="H9" s="6">
        <v>17689</v>
      </c>
      <c r="I9" s="6">
        <v>12788</v>
      </c>
      <c r="J9" s="4">
        <v>1.4</v>
      </c>
      <c r="K9" s="4">
        <v>33.200000000000003</v>
      </c>
      <c r="L9" s="7">
        <v>0.2114</v>
      </c>
      <c r="M9" s="4">
        <v>537</v>
      </c>
      <c r="N9" s="6">
        <v>19214</v>
      </c>
      <c r="O9" s="6">
        <v>13645</v>
      </c>
      <c r="P9" s="4">
        <v>1.43</v>
      </c>
      <c r="Q9" s="4">
        <v>32.68</v>
      </c>
      <c r="R9" s="7">
        <v>0.15110000000000001</v>
      </c>
      <c r="S9" s="4">
        <v>481</v>
      </c>
      <c r="T9" s="6">
        <v>14638</v>
      </c>
      <c r="U9" s="6">
        <v>10979</v>
      </c>
      <c r="V9" s="4">
        <v>1.35</v>
      </c>
      <c r="W9" s="4">
        <v>32.39</v>
      </c>
      <c r="X9" s="7">
        <v>0.2009</v>
      </c>
      <c r="Y9" s="4">
        <v>381</v>
      </c>
    </row>
    <row r="10" spans="1:25" x14ac:dyDescent="0.25">
      <c r="A10" s="4" t="s">
        <v>27</v>
      </c>
      <c r="B10" s="6">
        <v>22459</v>
      </c>
      <c r="C10" s="6">
        <v>16547</v>
      </c>
      <c r="D10" s="4">
        <v>1.39</v>
      </c>
      <c r="E10" s="4">
        <v>26.9</v>
      </c>
      <c r="F10" s="7">
        <v>7.2800000000000004E-2</v>
      </c>
      <c r="G10" s="4">
        <v>890</v>
      </c>
      <c r="H10" s="6">
        <v>23621</v>
      </c>
      <c r="I10" s="6">
        <v>16567</v>
      </c>
      <c r="J10" s="4">
        <v>1.44</v>
      </c>
      <c r="K10" s="4">
        <v>24.78</v>
      </c>
      <c r="L10" s="7">
        <v>0.09</v>
      </c>
      <c r="M10" s="4">
        <v>581</v>
      </c>
      <c r="N10" s="6">
        <v>23683</v>
      </c>
      <c r="O10" s="6">
        <v>16546</v>
      </c>
      <c r="P10" s="4">
        <v>1.45</v>
      </c>
      <c r="Q10" s="4">
        <v>25.52</v>
      </c>
      <c r="R10" s="7">
        <v>7.6100000000000001E-2</v>
      </c>
      <c r="S10" s="4">
        <v>579</v>
      </c>
      <c r="T10" s="6">
        <v>23176</v>
      </c>
      <c r="U10" s="6">
        <v>16580</v>
      </c>
      <c r="V10" s="4">
        <v>1.42</v>
      </c>
      <c r="W10" s="4">
        <v>24.98</v>
      </c>
      <c r="X10" s="7">
        <v>6.6000000000000003E-2</v>
      </c>
      <c r="Y10" s="4">
        <v>656</v>
      </c>
    </row>
    <row r="11" spans="1:25" x14ac:dyDescent="0.25">
      <c r="A11" s="4" t="s">
        <v>28</v>
      </c>
      <c r="B11" s="6">
        <v>22429</v>
      </c>
      <c r="C11" s="6">
        <v>16811</v>
      </c>
      <c r="D11" s="4">
        <v>1.38</v>
      </c>
      <c r="E11" s="4">
        <v>0</v>
      </c>
      <c r="F11" s="7">
        <v>0</v>
      </c>
      <c r="G11" s="4">
        <v>998</v>
      </c>
      <c r="H11" s="6">
        <v>20271</v>
      </c>
      <c r="I11" s="6">
        <v>14889</v>
      </c>
      <c r="J11" s="4">
        <v>1.4</v>
      </c>
      <c r="K11" s="4">
        <v>0</v>
      </c>
      <c r="L11" s="7">
        <v>0</v>
      </c>
      <c r="M11" s="4">
        <v>648</v>
      </c>
      <c r="N11" s="6">
        <v>23513</v>
      </c>
      <c r="O11" s="6">
        <v>17287</v>
      </c>
      <c r="P11" s="4">
        <v>1.41</v>
      </c>
      <c r="Q11" s="4">
        <v>0</v>
      </c>
      <c r="R11" s="7">
        <v>0</v>
      </c>
      <c r="S11" s="4">
        <v>955</v>
      </c>
      <c r="T11" s="6">
        <v>18897</v>
      </c>
      <c r="U11" s="6">
        <v>14162</v>
      </c>
      <c r="V11" s="4">
        <v>1.38</v>
      </c>
      <c r="W11" s="4">
        <v>0</v>
      </c>
      <c r="X11" s="7">
        <v>0</v>
      </c>
      <c r="Y11" s="4">
        <v>656</v>
      </c>
    </row>
    <row r="12" spans="1:25" x14ac:dyDescent="0.25">
      <c r="A12" s="4" t="s">
        <v>29</v>
      </c>
      <c r="B12" s="6">
        <v>21928</v>
      </c>
      <c r="C12" s="6">
        <v>12772</v>
      </c>
      <c r="D12" s="4">
        <v>1.74</v>
      </c>
      <c r="E12" s="4">
        <v>29.19</v>
      </c>
      <c r="F12" s="7">
        <v>7.6700000000000004E-2</v>
      </c>
      <c r="G12" s="4">
        <v>654</v>
      </c>
      <c r="H12" s="6">
        <v>17053</v>
      </c>
      <c r="I12" s="6">
        <v>10169</v>
      </c>
      <c r="J12" s="4">
        <v>1.7</v>
      </c>
      <c r="K12" s="4">
        <v>27.44</v>
      </c>
      <c r="L12" s="7">
        <v>0.1014</v>
      </c>
      <c r="M12" s="4">
        <v>485</v>
      </c>
      <c r="N12" s="6">
        <v>17173</v>
      </c>
      <c r="O12" s="6">
        <v>10504</v>
      </c>
      <c r="P12" s="4">
        <v>1.66</v>
      </c>
      <c r="Q12" s="4">
        <v>28.09</v>
      </c>
      <c r="R12" s="7">
        <v>8.7599999999999997E-2</v>
      </c>
      <c r="S12" s="4">
        <v>538</v>
      </c>
      <c r="T12" s="6">
        <v>11344</v>
      </c>
      <c r="U12" s="6">
        <v>7284</v>
      </c>
      <c r="V12" s="4">
        <v>1.6</v>
      </c>
      <c r="W12" s="4">
        <v>26.77</v>
      </c>
      <c r="X12" s="7">
        <v>7.7799999999999994E-2</v>
      </c>
      <c r="Y12" s="4">
        <v>438</v>
      </c>
    </row>
    <row r="13" spans="1:25" x14ac:dyDescent="0.25">
      <c r="A13" s="4" t="s">
        <v>30</v>
      </c>
      <c r="B13" s="6">
        <v>19185</v>
      </c>
      <c r="C13" s="6">
        <v>12070</v>
      </c>
      <c r="D13" s="4">
        <v>1.61</v>
      </c>
      <c r="E13" s="4">
        <v>22.99</v>
      </c>
      <c r="F13" s="7">
        <v>5.7200000000000001E-2</v>
      </c>
      <c r="G13" s="4">
        <v>486</v>
      </c>
      <c r="H13" s="6">
        <v>17783</v>
      </c>
      <c r="I13" s="6">
        <v>11130</v>
      </c>
      <c r="J13" s="4">
        <v>1.62</v>
      </c>
      <c r="K13" s="4">
        <v>22.31</v>
      </c>
      <c r="L13" s="7">
        <v>8.9099999999999999E-2</v>
      </c>
      <c r="M13" s="4">
        <v>354</v>
      </c>
      <c r="N13" s="6">
        <v>20458</v>
      </c>
      <c r="O13" s="6">
        <v>12477</v>
      </c>
      <c r="P13" s="4">
        <v>1.66</v>
      </c>
      <c r="Q13" s="4">
        <v>23.02</v>
      </c>
      <c r="R13" s="7">
        <v>7.4899999999999994E-2</v>
      </c>
      <c r="S13" s="4">
        <v>454</v>
      </c>
      <c r="T13" s="6">
        <v>14050</v>
      </c>
      <c r="U13" s="6">
        <v>9011</v>
      </c>
      <c r="V13" s="4">
        <v>1.58</v>
      </c>
      <c r="W13" s="4">
        <v>21.67</v>
      </c>
      <c r="X13" s="7">
        <v>5.7700000000000001E-2</v>
      </c>
      <c r="Y13" s="4">
        <v>337</v>
      </c>
    </row>
    <row r="14" spans="1:25" x14ac:dyDescent="0.25">
      <c r="A14" s="4" t="s">
        <v>31</v>
      </c>
      <c r="B14" s="6">
        <v>17845</v>
      </c>
      <c r="C14" s="6">
        <v>12631</v>
      </c>
      <c r="D14" s="4">
        <v>1.44</v>
      </c>
      <c r="E14" s="4">
        <v>24.17</v>
      </c>
      <c r="F14" s="7">
        <v>6.8000000000000005E-2</v>
      </c>
      <c r="G14" s="4">
        <v>658</v>
      </c>
      <c r="H14" s="6">
        <v>19110</v>
      </c>
      <c r="I14" s="6">
        <v>13233</v>
      </c>
      <c r="J14" s="4">
        <v>1.46</v>
      </c>
      <c r="K14" s="4">
        <v>21.83</v>
      </c>
      <c r="L14" s="7">
        <v>8.4900000000000003E-2</v>
      </c>
      <c r="M14" s="4">
        <v>440</v>
      </c>
      <c r="N14" s="6">
        <v>20511</v>
      </c>
      <c r="O14" s="6">
        <v>14144</v>
      </c>
      <c r="P14" s="4">
        <v>1.47</v>
      </c>
      <c r="Q14" s="4">
        <v>22.7</v>
      </c>
      <c r="R14" s="7">
        <v>7.7200000000000005E-2</v>
      </c>
      <c r="S14" s="4">
        <v>467</v>
      </c>
      <c r="T14" s="6">
        <v>18628</v>
      </c>
      <c r="U14" s="6">
        <v>13130</v>
      </c>
      <c r="V14" s="4">
        <v>1.43</v>
      </c>
      <c r="W14" s="4">
        <v>20.92</v>
      </c>
      <c r="X14" s="7">
        <v>4.5100000000000001E-2</v>
      </c>
      <c r="Y14" s="4">
        <v>427</v>
      </c>
    </row>
    <row r="15" spans="1:25" x14ac:dyDescent="0.25">
      <c r="A15" s="4" t="s">
        <v>32</v>
      </c>
      <c r="B15" s="6">
        <v>16688</v>
      </c>
      <c r="C15" s="6">
        <v>12115</v>
      </c>
      <c r="D15" s="4">
        <v>1.39</v>
      </c>
      <c r="E15" s="4">
        <v>29.63</v>
      </c>
      <c r="F15" s="7">
        <v>7.2300000000000003E-2</v>
      </c>
      <c r="G15" s="4">
        <v>439</v>
      </c>
      <c r="H15" s="6">
        <v>14695</v>
      </c>
      <c r="I15" s="6">
        <v>10668</v>
      </c>
      <c r="J15" s="4">
        <v>1.39</v>
      </c>
      <c r="K15" s="4">
        <v>28.15</v>
      </c>
      <c r="L15" s="7">
        <v>0.1129</v>
      </c>
      <c r="M15" s="4">
        <v>300</v>
      </c>
      <c r="N15" s="6">
        <v>10696</v>
      </c>
      <c r="O15" s="6">
        <v>8187</v>
      </c>
      <c r="P15" s="4">
        <v>1.32</v>
      </c>
      <c r="Q15" s="4">
        <v>29.99</v>
      </c>
      <c r="R15" s="7">
        <v>0.12230000000000001</v>
      </c>
      <c r="S15" s="4">
        <v>246</v>
      </c>
      <c r="T15" s="6">
        <v>7875</v>
      </c>
      <c r="U15" s="6">
        <v>6149</v>
      </c>
      <c r="V15" s="4">
        <v>1.3</v>
      </c>
      <c r="W15" s="4">
        <v>29.17</v>
      </c>
      <c r="X15" s="7">
        <v>6.1699999999999998E-2</v>
      </c>
      <c r="Y15" s="4">
        <v>273</v>
      </c>
    </row>
    <row r="16" spans="1:25" x14ac:dyDescent="0.25">
      <c r="A16" s="4" t="s">
        <v>33</v>
      </c>
      <c r="B16" s="6">
        <v>13103</v>
      </c>
      <c r="C16" s="6">
        <v>9029</v>
      </c>
      <c r="D16" s="4">
        <v>1.48</v>
      </c>
      <c r="E16" s="4">
        <v>28.04</v>
      </c>
      <c r="F16" s="7">
        <v>7.1199999999999999E-2</v>
      </c>
      <c r="G16" s="4">
        <v>501</v>
      </c>
      <c r="H16" s="6">
        <v>10965</v>
      </c>
      <c r="I16" s="6">
        <v>7655</v>
      </c>
      <c r="J16" s="4">
        <v>1.45</v>
      </c>
      <c r="K16" s="4">
        <v>26.87</v>
      </c>
      <c r="L16" s="7">
        <v>0.1082</v>
      </c>
      <c r="M16" s="4">
        <v>266</v>
      </c>
      <c r="N16" s="6">
        <v>11105</v>
      </c>
      <c r="O16" s="6">
        <v>7734</v>
      </c>
      <c r="P16" s="4">
        <v>1.46</v>
      </c>
      <c r="Q16" s="4">
        <v>28.69</v>
      </c>
      <c r="R16" s="7">
        <v>0.1037</v>
      </c>
      <c r="S16" s="4">
        <v>338</v>
      </c>
      <c r="T16" s="6">
        <v>8694</v>
      </c>
      <c r="U16" s="6">
        <v>6316</v>
      </c>
      <c r="V16" s="4">
        <v>1.4</v>
      </c>
      <c r="W16" s="4">
        <v>25.43</v>
      </c>
      <c r="X16" s="7">
        <v>5.8299999999999998E-2</v>
      </c>
      <c r="Y16" s="4">
        <v>275</v>
      </c>
    </row>
    <row r="17" spans="1:25" x14ac:dyDescent="0.25">
      <c r="A17" s="4" t="s">
        <v>34</v>
      </c>
      <c r="B17" s="6">
        <v>12944</v>
      </c>
      <c r="C17" s="6">
        <v>9663</v>
      </c>
      <c r="D17" s="4">
        <v>1.38</v>
      </c>
      <c r="E17" s="4">
        <v>44.17</v>
      </c>
      <c r="F17" s="7">
        <v>0.18609999999999999</v>
      </c>
      <c r="G17" s="4">
        <v>540</v>
      </c>
      <c r="H17" s="6">
        <v>9379</v>
      </c>
      <c r="I17" s="6">
        <v>6947</v>
      </c>
      <c r="J17" s="4">
        <v>1.37</v>
      </c>
      <c r="K17" s="4">
        <v>40.950000000000003</v>
      </c>
      <c r="L17" s="7">
        <v>0.1925</v>
      </c>
      <c r="M17" s="4">
        <v>289</v>
      </c>
      <c r="N17" s="6">
        <v>11698</v>
      </c>
      <c r="O17" s="6">
        <v>8666</v>
      </c>
      <c r="P17" s="4">
        <v>1.37</v>
      </c>
      <c r="Q17" s="4">
        <v>40.840000000000003</v>
      </c>
      <c r="R17" s="7">
        <v>0.1777</v>
      </c>
      <c r="S17" s="4">
        <v>369</v>
      </c>
      <c r="T17" s="6">
        <v>11950</v>
      </c>
      <c r="U17" s="6">
        <v>8639</v>
      </c>
      <c r="V17" s="4">
        <v>1.41</v>
      </c>
      <c r="W17" s="4">
        <v>37.9</v>
      </c>
      <c r="X17" s="7">
        <v>0.1195</v>
      </c>
      <c r="Y17" s="4">
        <v>395</v>
      </c>
    </row>
    <row r="18" spans="1:25" x14ac:dyDescent="0.25">
      <c r="A18" s="4" t="s">
        <v>35</v>
      </c>
      <c r="B18" s="6">
        <v>12730</v>
      </c>
      <c r="C18" s="6">
        <v>6152</v>
      </c>
      <c r="D18" s="4">
        <v>2.1</v>
      </c>
      <c r="E18" s="4">
        <v>34.909999999999997</v>
      </c>
      <c r="F18" s="7">
        <v>0.1037</v>
      </c>
      <c r="G18" s="4">
        <v>279</v>
      </c>
      <c r="H18" s="6">
        <v>14118</v>
      </c>
      <c r="I18" s="6">
        <v>6763</v>
      </c>
      <c r="J18" s="4">
        <v>2.12</v>
      </c>
      <c r="K18" s="4">
        <v>34.14</v>
      </c>
      <c r="L18" s="7">
        <v>0.1391</v>
      </c>
      <c r="M18" s="4">
        <v>411</v>
      </c>
      <c r="N18" s="6">
        <v>16508</v>
      </c>
      <c r="O18" s="6">
        <v>7934</v>
      </c>
      <c r="P18" s="4">
        <v>2.11</v>
      </c>
      <c r="Q18" s="4">
        <v>36.01</v>
      </c>
      <c r="R18" s="7">
        <v>0.15290000000000001</v>
      </c>
      <c r="S18" s="4">
        <v>377</v>
      </c>
      <c r="T18" s="6">
        <v>13178</v>
      </c>
      <c r="U18" s="6">
        <v>6310</v>
      </c>
      <c r="V18" s="4">
        <v>2.13</v>
      </c>
      <c r="W18" s="4">
        <v>37.51</v>
      </c>
      <c r="X18" s="7">
        <v>0.17530000000000001</v>
      </c>
      <c r="Y18" s="4">
        <v>429</v>
      </c>
    </row>
    <row r="19" spans="1:25" x14ac:dyDescent="0.25">
      <c r="A19" s="4" t="s">
        <v>36</v>
      </c>
      <c r="B19" s="6">
        <v>12655</v>
      </c>
      <c r="C19" s="6">
        <v>9925</v>
      </c>
      <c r="D19" s="4">
        <v>1.31</v>
      </c>
      <c r="E19" s="4">
        <v>0</v>
      </c>
      <c r="F19" s="7">
        <v>0</v>
      </c>
      <c r="G19" s="4">
        <v>400</v>
      </c>
      <c r="H19" s="6">
        <v>9639</v>
      </c>
      <c r="I19" s="6">
        <v>7514</v>
      </c>
      <c r="J19" s="4">
        <v>1.3</v>
      </c>
      <c r="K19" s="4">
        <v>0</v>
      </c>
      <c r="L19" s="7">
        <v>0</v>
      </c>
      <c r="M19" s="4">
        <v>240</v>
      </c>
      <c r="N19" s="6">
        <v>12047</v>
      </c>
      <c r="O19" s="6">
        <v>9385</v>
      </c>
      <c r="P19" s="4">
        <v>1.31</v>
      </c>
      <c r="Q19" s="4">
        <v>0</v>
      </c>
      <c r="R19" s="7">
        <v>0</v>
      </c>
      <c r="S19" s="4">
        <v>370</v>
      </c>
      <c r="T19" s="6">
        <v>9774</v>
      </c>
      <c r="U19" s="6">
        <v>7855</v>
      </c>
      <c r="V19" s="4">
        <v>1.28</v>
      </c>
      <c r="W19" s="4">
        <v>0</v>
      </c>
      <c r="X19" s="7">
        <v>0</v>
      </c>
      <c r="Y19" s="4">
        <v>405</v>
      </c>
    </row>
    <row r="20" spans="1:25" x14ac:dyDescent="0.25">
      <c r="A20" s="4" t="s">
        <v>37</v>
      </c>
      <c r="B20" s="6">
        <v>11333</v>
      </c>
      <c r="C20" s="6">
        <v>9675</v>
      </c>
      <c r="D20" s="4">
        <v>1.19</v>
      </c>
      <c r="E20" s="4">
        <v>30.77</v>
      </c>
      <c r="F20" s="7">
        <v>0.10199999999999999</v>
      </c>
      <c r="G20" s="4">
        <v>358</v>
      </c>
      <c r="H20" s="6">
        <v>11654</v>
      </c>
      <c r="I20" s="6">
        <v>10010</v>
      </c>
      <c r="J20" s="4">
        <v>1.19</v>
      </c>
      <c r="K20" s="4">
        <v>30.69</v>
      </c>
      <c r="L20" s="7">
        <v>0.13730000000000001</v>
      </c>
      <c r="M20" s="4">
        <v>455</v>
      </c>
      <c r="N20" s="6">
        <v>9888</v>
      </c>
      <c r="O20" s="6">
        <v>8512</v>
      </c>
      <c r="P20" s="4">
        <v>1.19</v>
      </c>
      <c r="Q20" s="4">
        <v>30.41</v>
      </c>
      <c r="R20" s="7">
        <v>0.115</v>
      </c>
      <c r="S20" s="4">
        <v>381</v>
      </c>
      <c r="T20" s="6">
        <v>7030</v>
      </c>
      <c r="U20" s="6">
        <v>6169</v>
      </c>
      <c r="V20" s="4">
        <v>1.1599999999999999</v>
      </c>
      <c r="W20" s="4">
        <v>25.18</v>
      </c>
      <c r="X20" s="7">
        <v>6.5199999999999994E-2</v>
      </c>
      <c r="Y20" s="4">
        <v>222</v>
      </c>
    </row>
    <row r="21" spans="1:25" x14ac:dyDescent="0.25">
      <c r="A21" s="4" t="s">
        <v>38</v>
      </c>
      <c r="B21" s="6">
        <v>11171</v>
      </c>
      <c r="C21" s="6">
        <v>7762</v>
      </c>
      <c r="D21" s="4">
        <v>1.46</v>
      </c>
      <c r="E21" s="4">
        <v>0</v>
      </c>
      <c r="F21" s="7">
        <v>0</v>
      </c>
      <c r="G21" s="4">
        <v>280</v>
      </c>
      <c r="H21" s="6">
        <v>9155</v>
      </c>
      <c r="I21" s="6">
        <v>6431</v>
      </c>
      <c r="J21" s="4">
        <v>1.45</v>
      </c>
      <c r="K21" s="4">
        <v>0</v>
      </c>
      <c r="L21" s="7">
        <v>0</v>
      </c>
      <c r="M21" s="4">
        <v>262</v>
      </c>
      <c r="N21" s="6">
        <v>10426</v>
      </c>
      <c r="O21" s="6">
        <v>7105</v>
      </c>
      <c r="P21" s="4">
        <v>1.49</v>
      </c>
      <c r="Q21" s="4">
        <v>0</v>
      </c>
      <c r="R21" s="7">
        <v>0</v>
      </c>
      <c r="S21" s="4">
        <v>217</v>
      </c>
      <c r="T21" s="6">
        <v>10503</v>
      </c>
      <c r="U21" s="6">
        <v>7231</v>
      </c>
      <c r="V21" s="4">
        <v>1.47</v>
      </c>
      <c r="W21" s="4">
        <v>0</v>
      </c>
      <c r="X21" s="7">
        <v>0</v>
      </c>
      <c r="Y21" s="4">
        <v>189</v>
      </c>
    </row>
    <row r="22" spans="1:25" x14ac:dyDescent="0.25">
      <c r="A22" s="4" t="s">
        <v>39</v>
      </c>
      <c r="B22" s="6">
        <v>10633</v>
      </c>
      <c r="C22" s="6">
        <v>7536</v>
      </c>
      <c r="D22" s="4">
        <v>1.42</v>
      </c>
      <c r="E22" s="4">
        <v>30.24</v>
      </c>
      <c r="F22" s="7">
        <v>7.1599999999999997E-2</v>
      </c>
      <c r="G22" s="4">
        <v>206</v>
      </c>
      <c r="H22" s="6">
        <v>8826</v>
      </c>
      <c r="I22" s="6">
        <v>6255</v>
      </c>
      <c r="J22" s="4">
        <v>1.43</v>
      </c>
      <c r="K22" s="4">
        <v>29.02</v>
      </c>
      <c r="L22" s="7">
        <v>9.11E-2</v>
      </c>
      <c r="M22" s="4">
        <v>178</v>
      </c>
      <c r="N22" s="6">
        <v>12148</v>
      </c>
      <c r="O22" s="6">
        <v>8213</v>
      </c>
      <c r="P22" s="4">
        <v>1.5</v>
      </c>
      <c r="Q22" s="4">
        <v>28.27</v>
      </c>
      <c r="R22" s="7">
        <v>8.7800000000000003E-2</v>
      </c>
      <c r="S22" s="4">
        <v>270</v>
      </c>
      <c r="T22" s="6">
        <v>11895</v>
      </c>
      <c r="U22" s="6">
        <v>8412</v>
      </c>
      <c r="V22" s="4">
        <v>1.44</v>
      </c>
      <c r="W22" s="4">
        <v>26.7</v>
      </c>
      <c r="X22" s="7">
        <v>4.8800000000000003E-2</v>
      </c>
      <c r="Y22" s="4">
        <v>308</v>
      </c>
    </row>
    <row r="23" spans="1:25" x14ac:dyDescent="0.25">
      <c r="A23" s="4" t="s">
        <v>40</v>
      </c>
      <c r="B23" s="6">
        <v>10236</v>
      </c>
      <c r="C23" s="6">
        <v>6257</v>
      </c>
      <c r="D23" s="4">
        <v>1.68</v>
      </c>
      <c r="E23" s="4">
        <v>0</v>
      </c>
      <c r="F23" s="7">
        <v>0</v>
      </c>
      <c r="G23" s="4">
        <v>387</v>
      </c>
      <c r="H23" s="6">
        <v>7996</v>
      </c>
      <c r="I23" s="6">
        <v>4955</v>
      </c>
      <c r="J23" s="4">
        <v>1.65</v>
      </c>
      <c r="K23" s="4">
        <v>0</v>
      </c>
      <c r="L23" s="7">
        <v>0</v>
      </c>
      <c r="M23" s="4">
        <v>240</v>
      </c>
      <c r="N23" s="6">
        <v>10077</v>
      </c>
      <c r="O23" s="6">
        <v>5957</v>
      </c>
      <c r="P23" s="4">
        <v>1.74</v>
      </c>
      <c r="Q23" s="4">
        <v>0</v>
      </c>
      <c r="R23" s="7">
        <v>0</v>
      </c>
      <c r="S23" s="4">
        <v>381</v>
      </c>
      <c r="T23" s="6">
        <v>8241</v>
      </c>
      <c r="U23" s="6">
        <v>5085</v>
      </c>
      <c r="V23" s="4">
        <v>1.68</v>
      </c>
      <c r="W23" s="4">
        <v>0</v>
      </c>
      <c r="X23" s="7">
        <v>0</v>
      </c>
      <c r="Y23" s="4">
        <v>370</v>
      </c>
    </row>
    <row r="24" spans="1:25" x14ac:dyDescent="0.25">
      <c r="A24" s="4" t="s">
        <v>41</v>
      </c>
      <c r="B24" s="6">
        <v>10064</v>
      </c>
      <c r="C24" s="6">
        <v>7918</v>
      </c>
      <c r="D24" s="4">
        <v>1.29</v>
      </c>
      <c r="E24" s="4">
        <v>37.1</v>
      </c>
      <c r="F24" s="7">
        <v>0.10349999999999999</v>
      </c>
      <c r="G24" s="4">
        <v>260</v>
      </c>
      <c r="H24" s="6">
        <v>6679</v>
      </c>
      <c r="I24" s="6">
        <v>5118</v>
      </c>
      <c r="J24" s="4">
        <v>1.32</v>
      </c>
      <c r="K24" s="4">
        <v>36.270000000000003</v>
      </c>
      <c r="L24" s="7">
        <v>0.1646</v>
      </c>
      <c r="M24" s="4">
        <v>172</v>
      </c>
      <c r="N24" s="6">
        <v>7329</v>
      </c>
      <c r="O24" s="6">
        <v>5666</v>
      </c>
      <c r="P24" s="4">
        <v>1.31</v>
      </c>
      <c r="Q24" s="4">
        <v>35.840000000000003</v>
      </c>
      <c r="R24" s="7">
        <v>0.12429999999999999</v>
      </c>
      <c r="S24" s="4">
        <v>202</v>
      </c>
      <c r="T24" s="6">
        <v>7700</v>
      </c>
      <c r="U24" s="6">
        <v>6335</v>
      </c>
      <c r="V24" s="4">
        <v>1.22</v>
      </c>
      <c r="W24" s="4">
        <v>32.35</v>
      </c>
      <c r="X24" s="7">
        <v>4.1500000000000002E-2</v>
      </c>
      <c r="Y24" s="4">
        <v>102</v>
      </c>
    </row>
    <row r="25" spans="1:25" x14ac:dyDescent="0.25">
      <c r="A25" s="4" t="s">
        <v>42</v>
      </c>
      <c r="B25" s="6">
        <v>9592</v>
      </c>
      <c r="C25" s="6">
        <v>7399</v>
      </c>
      <c r="D25" s="4">
        <v>1.3</v>
      </c>
      <c r="E25" s="4">
        <v>35.61</v>
      </c>
      <c r="F25" s="7">
        <v>8.5900000000000004E-2</v>
      </c>
      <c r="G25" s="4">
        <v>142</v>
      </c>
      <c r="H25" s="6">
        <v>8816</v>
      </c>
      <c r="I25" s="6">
        <v>6863</v>
      </c>
      <c r="J25" s="4">
        <v>1.3</v>
      </c>
      <c r="K25" s="4">
        <v>34.96</v>
      </c>
      <c r="L25" s="7">
        <v>0.16889999999999999</v>
      </c>
      <c r="M25" s="4">
        <v>153</v>
      </c>
      <c r="N25" s="6">
        <v>9747</v>
      </c>
      <c r="O25" s="6">
        <v>7355</v>
      </c>
      <c r="P25" s="4">
        <v>1.34</v>
      </c>
      <c r="Q25" s="4">
        <v>36.36</v>
      </c>
      <c r="R25" s="7">
        <v>0.1633</v>
      </c>
      <c r="S25" s="4">
        <v>199</v>
      </c>
      <c r="T25" s="6">
        <v>8029</v>
      </c>
      <c r="U25" s="6">
        <v>6033</v>
      </c>
      <c r="V25" s="4">
        <v>1.34</v>
      </c>
      <c r="W25" s="4">
        <v>34.32</v>
      </c>
      <c r="X25" s="7">
        <v>0.1391</v>
      </c>
      <c r="Y25" s="4">
        <v>148</v>
      </c>
    </row>
    <row r="26" spans="1:25" x14ac:dyDescent="0.25">
      <c r="A26" s="4" t="s">
        <v>43</v>
      </c>
      <c r="B26" s="6">
        <v>9586</v>
      </c>
      <c r="C26" s="6">
        <v>7451</v>
      </c>
      <c r="D26" s="4">
        <v>1.3</v>
      </c>
      <c r="E26" s="4">
        <v>32.28</v>
      </c>
      <c r="F26" s="7">
        <v>6.9699999999999998E-2</v>
      </c>
      <c r="G26" s="4">
        <v>236</v>
      </c>
      <c r="H26" s="6">
        <v>8670</v>
      </c>
      <c r="I26" s="6">
        <v>6700</v>
      </c>
      <c r="J26" s="4">
        <v>1.31</v>
      </c>
      <c r="K26" s="4">
        <v>33.79</v>
      </c>
      <c r="L26" s="7">
        <v>0.11700000000000001</v>
      </c>
      <c r="M26" s="4">
        <v>162</v>
      </c>
      <c r="N26" s="6">
        <v>9787</v>
      </c>
      <c r="O26" s="6">
        <v>7707</v>
      </c>
      <c r="P26" s="4">
        <v>1.28</v>
      </c>
      <c r="Q26" s="4">
        <v>34.51</v>
      </c>
      <c r="R26" s="7">
        <v>9.8799999999999999E-2</v>
      </c>
      <c r="S26" s="4">
        <v>209</v>
      </c>
      <c r="T26" s="6">
        <v>6143</v>
      </c>
      <c r="U26" s="6">
        <v>4723</v>
      </c>
      <c r="V26" s="4">
        <v>1.32</v>
      </c>
      <c r="W26" s="4">
        <v>32.79</v>
      </c>
      <c r="X26" s="7">
        <v>9.1300000000000006E-2</v>
      </c>
      <c r="Y26" s="4">
        <v>141</v>
      </c>
    </row>
    <row r="27" spans="1:25" x14ac:dyDescent="0.25">
      <c r="A27" s="4" t="s">
        <v>44</v>
      </c>
      <c r="B27" s="6">
        <v>9068</v>
      </c>
      <c r="C27" s="6">
        <v>6522</v>
      </c>
      <c r="D27" s="4">
        <v>1.41</v>
      </c>
      <c r="E27" s="4">
        <v>26.9</v>
      </c>
      <c r="F27" s="7">
        <v>8.2600000000000007E-2</v>
      </c>
      <c r="G27" s="4">
        <v>299</v>
      </c>
      <c r="H27" s="6">
        <v>7417</v>
      </c>
      <c r="I27" s="6">
        <v>5333</v>
      </c>
      <c r="J27" s="4">
        <v>1.4</v>
      </c>
      <c r="K27" s="4">
        <v>26.45</v>
      </c>
      <c r="L27" s="7">
        <v>0.12330000000000001</v>
      </c>
      <c r="M27" s="4">
        <v>143</v>
      </c>
      <c r="N27" s="6">
        <v>8459</v>
      </c>
      <c r="O27" s="6">
        <v>6216</v>
      </c>
      <c r="P27" s="4">
        <v>1.38</v>
      </c>
      <c r="Q27" s="4">
        <v>28.03</v>
      </c>
      <c r="R27" s="7">
        <v>0.11849999999999999</v>
      </c>
      <c r="S27" s="4">
        <v>199</v>
      </c>
      <c r="T27" s="6">
        <v>7018</v>
      </c>
      <c r="U27" s="6">
        <v>5012</v>
      </c>
      <c r="V27" s="4">
        <v>1.43</v>
      </c>
      <c r="W27" s="4">
        <v>27.07</v>
      </c>
      <c r="X27" s="7">
        <v>0.10349999999999999</v>
      </c>
      <c r="Y27" s="4">
        <v>223</v>
      </c>
    </row>
    <row r="28" spans="1:25" x14ac:dyDescent="0.25">
      <c r="A28" s="4" t="s">
        <v>45</v>
      </c>
      <c r="B28" s="6">
        <v>8686</v>
      </c>
      <c r="C28" s="6">
        <v>6839</v>
      </c>
      <c r="D28" s="4">
        <v>1.29</v>
      </c>
      <c r="E28" s="4">
        <v>27.74</v>
      </c>
      <c r="F28" s="7">
        <v>7.3099999999999998E-2</v>
      </c>
      <c r="G28" s="4">
        <v>307</v>
      </c>
      <c r="H28" s="6">
        <v>7700</v>
      </c>
      <c r="I28" s="6">
        <v>6090</v>
      </c>
      <c r="J28" s="4">
        <v>1.29</v>
      </c>
      <c r="K28" s="4">
        <v>27.02</v>
      </c>
      <c r="L28" s="7">
        <v>0.1183</v>
      </c>
      <c r="M28" s="4">
        <v>277</v>
      </c>
      <c r="N28" s="6">
        <v>7072</v>
      </c>
      <c r="O28" s="6">
        <v>5806</v>
      </c>
      <c r="P28" s="4">
        <v>1.25</v>
      </c>
      <c r="Q28" s="4">
        <v>27.53</v>
      </c>
      <c r="R28" s="7">
        <v>0.10780000000000001</v>
      </c>
      <c r="S28" s="4">
        <v>275</v>
      </c>
      <c r="T28" s="6">
        <v>7348</v>
      </c>
      <c r="U28" s="6">
        <v>5603</v>
      </c>
      <c r="V28" s="4">
        <v>1.33</v>
      </c>
      <c r="W28" s="4">
        <v>25.99</v>
      </c>
      <c r="X28" s="7">
        <v>6.4500000000000002E-2</v>
      </c>
      <c r="Y28" s="4">
        <v>194</v>
      </c>
    </row>
    <row r="29" spans="1:25" x14ac:dyDescent="0.25">
      <c r="A29" s="4" t="s">
        <v>46</v>
      </c>
      <c r="B29" s="6">
        <v>8495</v>
      </c>
      <c r="C29" s="6">
        <v>5611</v>
      </c>
      <c r="D29" s="4">
        <v>1.54</v>
      </c>
      <c r="E29" s="4">
        <v>36.630000000000003</v>
      </c>
      <c r="F29" s="7">
        <v>8.3400000000000002E-2</v>
      </c>
      <c r="G29" s="4">
        <v>173</v>
      </c>
      <c r="H29" s="6">
        <v>6806</v>
      </c>
      <c r="I29" s="6">
        <v>4700</v>
      </c>
      <c r="J29" s="4">
        <v>1.47</v>
      </c>
      <c r="K29" s="4">
        <v>36.590000000000003</v>
      </c>
      <c r="L29" s="7">
        <v>0.12239999999999999</v>
      </c>
      <c r="M29" s="4">
        <v>149</v>
      </c>
      <c r="N29" s="6">
        <v>7266</v>
      </c>
      <c r="O29" s="6">
        <v>4850</v>
      </c>
      <c r="P29" s="4">
        <v>1.52</v>
      </c>
      <c r="Q29" s="4">
        <v>36.06</v>
      </c>
      <c r="R29" s="7">
        <v>0.1159</v>
      </c>
      <c r="S29" s="4">
        <v>212</v>
      </c>
      <c r="T29" s="6">
        <v>6782</v>
      </c>
      <c r="U29" s="6">
        <v>4440</v>
      </c>
      <c r="V29" s="4">
        <v>1.55</v>
      </c>
      <c r="W29" s="4">
        <v>36.15</v>
      </c>
      <c r="X29" s="7">
        <v>8.3500000000000005E-2</v>
      </c>
      <c r="Y29" s="4">
        <v>168</v>
      </c>
    </row>
    <row r="30" spans="1:25" x14ac:dyDescent="0.25">
      <c r="A30" s="4" t="s">
        <v>47</v>
      </c>
      <c r="B30" s="6">
        <v>8324</v>
      </c>
      <c r="C30" s="6">
        <v>5452</v>
      </c>
      <c r="D30" s="4">
        <v>1.54</v>
      </c>
      <c r="E30" s="4">
        <v>33.549999999999997</v>
      </c>
      <c r="F30" s="7">
        <v>8.8300000000000003E-2</v>
      </c>
      <c r="G30" s="4">
        <v>153</v>
      </c>
      <c r="H30" s="6">
        <v>6905</v>
      </c>
      <c r="I30" s="6">
        <v>4492</v>
      </c>
      <c r="J30" s="4">
        <v>1.56</v>
      </c>
      <c r="K30" s="4">
        <v>34.11</v>
      </c>
      <c r="L30" s="7">
        <v>0.13400000000000001</v>
      </c>
      <c r="M30" s="4">
        <v>150</v>
      </c>
      <c r="N30" s="6">
        <v>7735</v>
      </c>
      <c r="O30" s="6">
        <v>4796</v>
      </c>
      <c r="P30" s="4">
        <v>1.63</v>
      </c>
      <c r="Q30" s="4">
        <v>34.799999999999997</v>
      </c>
      <c r="R30" s="7">
        <v>0.1123</v>
      </c>
      <c r="S30" s="4">
        <v>162</v>
      </c>
      <c r="T30" s="6">
        <v>5924</v>
      </c>
      <c r="U30" s="6">
        <v>3941</v>
      </c>
      <c r="V30" s="4">
        <v>1.53</v>
      </c>
      <c r="W30" s="4">
        <v>32.28</v>
      </c>
      <c r="X30" s="7">
        <v>7.5800000000000006E-2</v>
      </c>
      <c r="Y30" s="4">
        <v>158</v>
      </c>
    </row>
    <row r="31" spans="1:25" x14ac:dyDescent="0.25">
      <c r="A31" s="4" t="s">
        <v>48</v>
      </c>
      <c r="B31" s="6">
        <v>8103</v>
      </c>
      <c r="C31" s="6">
        <v>5349</v>
      </c>
      <c r="D31" s="4">
        <v>1.53</v>
      </c>
      <c r="E31" s="4">
        <v>28.14</v>
      </c>
      <c r="F31" s="7">
        <v>5.2699999999999997E-2</v>
      </c>
      <c r="G31" s="4">
        <v>150</v>
      </c>
      <c r="H31" s="6">
        <v>6130</v>
      </c>
      <c r="I31" s="6">
        <v>4194</v>
      </c>
      <c r="J31" s="4">
        <v>1.48</v>
      </c>
      <c r="K31" s="4">
        <v>27.96</v>
      </c>
      <c r="L31" s="7">
        <v>0.1004</v>
      </c>
      <c r="M31" s="4">
        <v>142</v>
      </c>
      <c r="N31" s="6">
        <v>5436</v>
      </c>
      <c r="O31" s="6">
        <v>3832</v>
      </c>
      <c r="P31" s="4">
        <v>1.43</v>
      </c>
      <c r="Q31" s="4">
        <v>30.56</v>
      </c>
      <c r="R31" s="7">
        <v>9.6000000000000002E-2</v>
      </c>
      <c r="S31" s="4">
        <v>123</v>
      </c>
      <c r="T31" s="6">
        <v>3839</v>
      </c>
      <c r="U31" s="6">
        <v>2846</v>
      </c>
      <c r="V31" s="4">
        <v>1.37</v>
      </c>
      <c r="W31" s="4">
        <v>28.77</v>
      </c>
      <c r="X31" s="7">
        <v>7.7200000000000005E-2</v>
      </c>
      <c r="Y31" s="4">
        <v>87</v>
      </c>
    </row>
    <row r="32" spans="1:25" x14ac:dyDescent="0.25">
      <c r="A32" s="4" t="s">
        <v>49</v>
      </c>
      <c r="B32" s="6">
        <v>7775</v>
      </c>
      <c r="C32" s="6">
        <v>5048</v>
      </c>
      <c r="D32" s="4">
        <v>1.57</v>
      </c>
      <c r="E32" s="4">
        <v>30.33</v>
      </c>
      <c r="F32" s="7">
        <v>7.6499999999999999E-2</v>
      </c>
      <c r="G32" s="4">
        <v>273</v>
      </c>
      <c r="H32" s="6">
        <v>7162</v>
      </c>
      <c r="I32" s="6">
        <v>4642</v>
      </c>
      <c r="J32" s="4">
        <v>1.57</v>
      </c>
      <c r="K32" s="4">
        <v>28.93</v>
      </c>
      <c r="L32" s="7">
        <v>0.1032</v>
      </c>
      <c r="M32" s="4">
        <v>183</v>
      </c>
      <c r="N32" s="6">
        <v>7218</v>
      </c>
      <c r="O32" s="6">
        <v>4555</v>
      </c>
      <c r="P32" s="4">
        <v>1.6</v>
      </c>
      <c r="Q32" s="4">
        <v>30.69</v>
      </c>
      <c r="R32" s="7">
        <v>0.1028</v>
      </c>
      <c r="S32" s="4">
        <v>144</v>
      </c>
      <c r="T32" s="6">
        <v>5959</v>
      </c>
      <c r="U32" s="6">
        <v>3861</v>
      </c>
      <c r="V32" s="4">
        <v>1.57</v>
      </c>
      <c r="W32" s="4">
        <v>29.31</v>
      </c>
      <c r="X32" s="7">
        <v>7.9299999999999995E-2</v>
      </c>
      <c r="Y32" s="4">
        <v>168</v>
      </c>
    </row>
    <row r="33" spans="1:25" x14ac:dyDescent="0.25">
      <c r="A33" s="4" t="s">
        <v>50</v>
      </c>
      <c r="B33" s="6">
        <v>7686</v>
      </c>
      <c r="C33" s="6">
        <v>6244</v>
      </c>
      <c r="D33" s="4">
        <v>1.25</v>
      </c>
      <c r="E33" s="4">
        <v>32.21</v>
      </c>
      <c r="F33" s="7">
        <v>6.1499999999999999E-2</v>
      </c>
      <c r="G33" s="4">
        <v>209</v>
      </c>
      <c r="H33" s="6">
        <v>5504</v>
      </c>
      <c r="I33" s="6">
        <v>4371</v>
      </c>
      <c r="J33" s="4">
        <v>1.27</v>
      </c>
      <c r="K33" s="4">
        <v>29.18</v>
      </c>
      <c r="L33" s="7">
        <v>6.4699999999999994E-2</v>
      </c>
      <c r="M33" s="4">
        <v>117</v>
      </c>
      <c r="N33" s="6">
        <v>6204</v>
      </c>
      <c r="O33" s="6">
        <v>4928</v>
      </c>
      <c r="P33" s="4">
        <v>1.28</v>
      </c>
      <c r="Q33" s="4">
        <v>29.67</v>
      </c>
      <c r="R33" s="7">
        <v>6.4100000000000004E-2</v>
      </c>
      <c r="S33" s="4">
        <v>164</v>
      </c>
      <c r="T33" s="6">
        <v>4806</v>
      </c>
      <c r="U33" s="6">
        <v>3984</v>
      </c>
      <c r="V33" s="4">
        <v>1.23</v>
      </c>
      <c r="W33" s="4">
        <v>33.33</v>
      </c>
      <c r="X33" s="7">
        <v>6.25E-2</v>
      </c>
      <c r="Y33" s="4">
        <v>149</v>
      </c>
    </row>
    <row r="34" spans="1:25" x14ac:dyDescent="0.25">
      <c r="A34" s="4" t="s">
        <v>51</v>
      </c>
      <c r="B34" s="6">
        <v>7676</v>
      </c>
      <c r="C34" s="6">
        <v>5540</v>
      </c>
      <c r="D34" s="4">
        <v>1.4</v>
      </c>
      <c r="E34" s="4">
        <v>27.64</v>
      </c>
      <c r="F34" s="7">
        <v>5.11E-2</v>
      </c>
      <c r="G34" s="4">
        <v>157</v>
      </c>
      <c r="H34" s="6">
        <v>5862</v>
      </c>
      <c r="I34" s="6">
        <v>4458</v>
      </c>
      <c r="J34" s="4">
        <v>1.33</v>
      </c>
      <c r="K34" s="4">
        <v>28.2</v>
      </c>
      <c r="L34" s="7">
        <v>0.1101</v>
      </c>
      <c r="M34" s="4">
        <v>104</v>
      </c>
      <c r="N34" s="6">
        <v>7825</v>
      </c>
      <c r="O34" s="6">
        <v>5911</v>
      </c>
      <c r="P34" s="4">
        <v>1.34</v>
      </c>
      <c r="Q34" s="4">
        <v>29.3</v>
      </c>
      <c r="R34" s="7">
        <v>0.1041</v>
      </c>
      <c r="S34" s="4">
        <v>188</v>
      </c>
      <c r="T34" s="6">
        <v>6307</v>
      </c>
      <c r="U34" s="6">
        <v>4856</v>
      </c>
      <c r="V34" s="4">
        <v>1.32</v>
      </c>
      <c r="W34" s="4">
        <v>27.66</v>
      </c>
      <c r="X34" s="7">
        <v>6.3E-2</v>
      </c>
      <c r="Y34" s="4">
        <v>153</v>
      </c>
    </row>
    <row r="35" spans="1:25" x14ac:dyDescent="0.25">
      <c r="A35" s="4" t="s">
        <v>52</v>
      </c>
      <c r="B35" s="6">
        <v>7610</v>
      </c>
      <c r="C35" s="6">
        <v>5295</v>
      </c>
      <c r="D35" s="4">
        <v>1.45</v>
      </c>
      <c r="E35" s="4">
        <v>36.76</v>
      </c>
      <c r="F35" s="7">
        <v>8.9200000000000002E-2</v>
      </c>
      <c r="G35" s="4">
        <v>181</v>
      </c>
      <c r="H35" s="6">
        <v>6018</v>
      </c>
      <c r="I35" s="6">
        <v>4151</v>
      </c>
      <c r="J35" s="4">
        <v>1.47</v>
      </c>
      <c r="K35" s="4">
        <v>35.85</v>
      </c>
      <c r="L35" s="7">
        <v>0.16489999999999999</v>
      </c>
      <c r="M35" s="4">
        <v>130</v>
      </c>
      <c r="N35" s="6">
        <v>6817</v>
      </c>
      <c r="O35" s="6">
        <v>4612</v>
      </c>
      <c r="P35" s="4">
        <v>1.49</v>
      </c>
      <c r="Q35" s="4">
        <v>35.24</v>
      </c>
      <c r="R35" s="7">
        <v>9.8299999999999998E-2</v>
      </c>
      <c r="S35" s="4">
        <v>149</v>
      </c>
      <c r="T35" s="6">
        <v>5521</v>
      </c>
      <c r="U35" s="6">
        <v>3906</v>
      </c>
      <c r="V35" s="4">
        <v>1.43</v>
      </c>
      <c r="W35" s="4">
        <v>31.31</v>
      </c>
      <c r="X35" s="7">
        <v>5.0799999999999998E-2</v>
      </c>
      <c r="Y35" s="4">
        <v>109</v>
      </c>
    </row>
    <row r="36" spans="1:25" x14ac:dyDescent="0.25">
      <c r="A36" s="4" t="s">
        <v>53</v>
      </c>
      <c r="B36" s="6">
        <v>7522</v>
      </c>
      <c r="C36" s="6">
        <v>5498</v>
      </c>
      <c r="D36" s="4">
        <v>1.39</v>
      </c>
      <c r="E36" s="4">
        <v>33.58</v>
      </c>
      <c r="F36" s="7">
        <v>9.7199999999999995E-2</v>
      </c>
      <c r="G36" s="4">
        <v>152</v>
      </c>
      <c r="H36" s="6">
        <v>5972</v>
      </c>
      <c r="I36" s="6">
        <v>4403</v>
      </c>
      <c r="J36" s="4">
        <v>1.37</v>
      </c>
      <c r="K36" s="4">
        <v>33.25</v>
      </c>
      <c r="L36" s="7">
        <v>0.1512</v>
      </c>
      <c r="M36" s="4">
        <v>107</v>
      </c>
      <c r="N36" s="6">
        <v>5184</v>
      </c>
      <c r="O36" s="6">
        <v>3949</v>
      </c>
      <c r="P36" s="4">
        <v>1.33</v>
      </c>
      <c r="Q36" s="4">
        <v>34.130000000000003</v>
      </c>
      <c r="R36" s="7">
        <v>0.1166</v>
      </c>
      <c r="S36" s="4">
        <v>136</v>
      </c>
      <c r="T36" s="6">
        <v>4374</v>
      </c>
      <c r="U36" s="6">
        <v>3187</v>
      </c>
      <c r="V36" s="4">
        <v>1.39</v>
      </c>
      <c r="W36" s="4">
        <v>31.68</v>
      </c>
      <c r="X36" s="7">
        <v>7.3899999999999993E-2</v>
      </c>
      <c r="Y36" s="4">
        <v>104</v>
      </c>
    </row>
    <row r="37" spans="1:25" x14ac:dyDescent="0.25">
      <c r="A37" s="4" t="s">
        <v>54</v>
      </c>
      <c r="B37" s="6">
        <v>7520</v>
      </c>
      <c r="C37" s="6">
        <v>5600</v>
      </c>
      <c r="D37" s="4">
        <v>1.37</v>
      </c>
      <c r="E37" s="4">
        <v>44.78</v>
      </c>
      <c r="F37" s="7">
        <v>0.14960000000000001</v>
      </c>
      <c r="G37" s="4">
        <v>258</v>
      </c>
      <c r="H37" s="6">
        <v>6455</v>
      </c>
      <c r="I37" s="6">
        <v>4796</v>
      </c>
      <c r="J37" s="4">
        <v>1.37</v>
      </c>
      <c r="K37" s="4">
        <v>42.32</v>
      </c>
      <c r="L37" s="7">
        <v>0.17680000000000001</v>
      </c>
      <c r="M37" s="4">
        <v>206</v>
      </c>
      <c r="N37" s="6">
        <v>6008</v>
      </c>
      <c r="O37" s="6">
        <v>4477</v>
      </c>
      <c r="P37" s="4">
        <v>1.37</v>
      </c>
      <c r="Q37" s="4">
        <v>42.92</v>
      </c>
      <c r="R37" s="7">
        <v>0.14080000000000001</v>
      </c>
      <c r="S37" s="4">
        <v>201</v>
      </c>
      <c r="T37" s="6">
        <v>5817</v>
      </c>
      <c r="U37" s="6">
        <v>4262</v>
      </c>
      <c r="V37" s="4">
        <v>1.38</v>
      </c>
      <c r="W37" s="4">
        <v>40.520000000000003</v>
      </c>
      <c r="X37" s="7">
        <v>7.6799999999999993E-2</v>
      </c>
      <c r="Y37" s="4">
        <v>157</v>
      </c>
    </row>
    <row r="38" spans="1:25" x14ac:dyDescent="0.25">
      <c r="A38" s="4" t="s">
        <v>55</v>
      </c>
      <c r="B38" s="6">
        <v>7034</v>
      </c>
      <c r="C38" s="6">
        <v>4714</v>
      </c>
      <c r="D38" s="4">
        <v>1.5</v>
      </c>
      <c r="E38" s="4">
        <v>31.66</v>
      </c>
      <c r="F38" s="7">
        <v>6.8599999999999994E-2</v>
      </c>
      <c r="G38" s="4">
        <v>95</v>
      </c>
      <c r="H38" s="6">
        <v>6159</v>
      </c>
      <c r="I38" s="6">
        <v>4259</v>
      </c>
      <c r="J38" s="4">
        <v>1.46</v>
      </c>
      <c r="K38" s="4">
        <v>32.1</v>
      </c>
      <c r="L38" s="7">
        <v>0.11070000000000001</v>
      </c>
      <c r="M38" s="4">
        <v>93</v>
      </c>
      <c r="N38" s="6">
        <v>7107</v>
      </c>
      <c r="O38" s="6">
        <v>4798</v>
      </c>
      <c r="P38" s="4">
        <v>1.49</v>
      </c>
      <c r="Q38" s="4">
        <v>33.82</v>
      </c>
      <c r="R38" s="7">
        <v>0.1153</v>
      </c>
      <c r="S38" s="4">
        <v>123</v>
      </c>
      <c r="T38" s="6">
        <v>5922</v>
      </c>
      <c r="U38" s="6">
        <v>3920</v>
      </c>
      <c r="V38" s="4">
        <v>1.53</v>
      </c>
      <c r="W38" s="4">
        <v>33.75</v>
      </c>
      <c r="X38" s="7">
        <v>7.8600000000000003E-2</v>
      </c>
      <c r="Y38" s="4">
        <v>118</v>
      </c>
    </row>
    <row r="39" spans="1:25" x14ac:dyDescent="0.25">
      <c r="A39" s="4" t="s">
        <v>56</v>
      </c>
      <c r="B39" s="6">
        <v>7004</v>
      </c>
      <c r="C39" s="6">
        <v>5376</v>
      </c>
      <c r="D39" s="4">
        <v>1.33</v>
      </c>
      <c r="E39" s="4">
        <v>28.87</v>
      </c>
      <c r="F39" s="7">
        <v>8.2500000000000004E-2</v>
      </c>
      <c r="G39" s="4">
        <v>321</v>
      </c>
      <c r="H39" s="6">
        <v>7011</v>
      </c>
      <c r="I39" s="6">
        <v>5254</v>
      </c>
      <c r="J39" s="4">
        <v>1.35</v>
      </c>
      <c r="K39" s="4">
        <v>25.93</v>
      </c>
      <c r="L39" s="7">
        <v>9.4700000000000006E-2</v>
      </c>
      <c r="M39" s="4">
        <v>254</v>
      </c>
      <c r="N39" s="6">
        <v>6447</v>
      </c>
      <c r="O39" s="6">
        <v>4883</v>
      </c>
      <c r="P39" s="4">
        <v>1.35</v>
      </c>
      <c r="Q39" s="4">
        <v>25.65</v>
      </c>
      <c r="R39" s="7">
        <v>7.4399999999999994E-2</v>
      </c>
      <c r="S39" s="4">
        <v>294</v>
      </c>
      <c r="T39" s="6">
        <v>5833</v>
      </c>
      <c r="U39" s="6">
        <v>4490</v>
      </c>
      <c r="V39" s="4">
        <v>1.32</v>
      </c>
      <c r="W39" s="4">
        <v>25.74</v>
      </c>
      <c r="X39" s="7">
        <v>7.6600000000000001E-2</v>
      </c>
      <c r="Y39" s="4">
        <v>252</v>
      </c>
    </row>
    <row r="40" spans="1:25" x14ac:dyDescent="0.25">
      <c r="A40" s="4" t="s">
        <v>57</v>
      </c>
      <c r="B40" s="6">
        <v>6986</v>
      </c>
      <c r="C40" s="6">
        <v>3230</v>
      </c>
      <c r="D40" s="4">
        <v>2.2000000000000002</v>
      </c>
      <c r="E40" s="4">
        <v>30.18</v>
      </c>
      <c r="F40" s="7">
        <v>0.109</v>
      </c>
      <c r="G40" s="4">
        <v>211</v>
      </c>
      <c r="H40" s="6">
        <v>8349</v>
      </c>
      <c r="I40" s="6">
        <v>3728</v>
      </c>
      <c r="J40" s="4">
        <v>2.2599999999999998</v>
      </c>
      <c r="K40" s="4">
        <v>30.05</v>
      </c>
      <c r="L40" s="7">
        <v>0.15160000000000001</v>
      </c>
      <c r="M40" s="4">
        <v>165</v>
      </c>
      <c r="N40" s="6">
        <v>9770</v>
      </c>
      <c r="O40" s="6">
        <v>4270</v>
      </c>
      <c r="P40" s="4">
        <v>2.31</v>
      </c>
      <c r="Q40" s="4">
        <v>29.02</v>
      </c>
      <c r="R40" s="7">
        <v>0.107</v>
      </c>
      <c r="S40" s="4">
        <v>227</v>
      </c>
      <c r="T40" s="6">
        <v>7889</v>
      </c>
      <c r="U40" s="6">
        <v>3592</v>
      </c>
      <c r="V40" s="4">
        <v>2.21</v>
      </c>
      <c r="W40" s="4">
        <v>27.57</v>
      </c>
      <c r="X40" s="7">
        <v>7.9100000000000004E-2</v>
      </c>
      <c r="Y40" s="4">
        <v>102</v>
      </c>
    </row>
    <row r="41" spans="1:25" x14ac:dyDescent="0.25">
      <c r="A41" s="4" t="s">
        <v>58</v>
      </c>
      <c r="B41" s="6">
        <v>6881</v>
      </c>
      <c r="C41" s="6">
        <v>4302</v>
      </c>
      <c r="D41" s="4">
        <v>1.62</v>
      </c>
      <c r="E41" s="4">
        <v>30.32</v>
      </c>
      <c r="F41" s="7">
        <v>7.5899999999999995E-2</v>
      </c>
      <c r="G41" s="4">
        <v>185</v>
      </c>
      <c r="H41" s="6">
        <v>4986</v>
      </c>
      <c r="I41" s="6">
        <v>3315</v>
      </c>
      <c r="J41" s="4">
        <v>1.52</v>
      </c>
      <c r="K41" s="4">
        <v>27.85</v>
      </c>
      <c r="L41" s="7">
        <v>0.1232</v>
      </c>
      <c r="M41" s="4">
        <v>90</v>
      </c>
      <c r="N41" s="6">
        <v>5316</v>
      </c>
      <c r="O41" s="6">
        <v>3490</v>
      </c>
      <c r="P41" s="4">
        <v>1.55</v>
      </c>
      <c r="Q41" s="4">
        <v>28.88</v>
      </c>
      <c r="R41" s="7">
        <v>0.109</v>
      </c>
      <c r="S41" s="4">
        <v>147</v>
      </c>
      <c r="T41" s="6">
        <v>1560</v>
      </c>
      <c r="U41" s="6">
        <v>1142</v>
      </c>
      <c r="V41" s="4">
        <v>1.4</v>
      </c>
      <c r="W41" s="4">
        <v>26.93</v>
      </c>
      <c r="X41" s="7">
        <v>7.4999999999999997E-2</v>
      </c>
      <c r="Y41" s="4">
        <v>57</v>
      </c>
    </row>
    <row r="42" spans="1:25" x14ac:dyDescent="0.25">
      <c r="A42" s="4" t="s">
        <v>59</v>
      </c>
      <c r="B42" s="6">
        <v>6668</v>
      </c>
      <c r="C42" s="6">
        <v>4443</v>
      </c>
      <c r="D42" s="4">
        <v>1.53</v>
      </c>
      <c r="E42" s="4">
        <v>33.909999999999997</v>
      </c>
      <c r="F42" s="7">
        <v>0.1411</v>
      </c>
      <c r="G42" s="4">
        <v>250</v>
      </c>
      <c r="H42" s="6">
        <v>6361</v>
      </c>
      <c r="I42" s="6">
        <v>4030</v>
      </c>
      <c r="J42" s="4">
        <v>1.61</v>
      </c>
      <c r="K42" s="4">
        <v>32.97</v>
      </c>
      <c r="L42" s="7">
        <v>0.14630000000000001</v>
      </c>
      <c r="M42" s="4">
        <v>204</v>
      </c>
      <c r="N42" s="6">
        <v>7745</v>
      </c>
      <c r="O42" s="6">
        <v>4762</v>
      </c>
      <c r="P42" s="4">
        <v>1.66</v>
      </c>
      <c r="Q42" s="4">
        <v>33.28</v>
      </c>
      <c r="R42" s="7">
        <v>0.13</v>
      </c>
      <c r="S42" s="4">
        <v>293</v>
      </c>
      <c r="T42" s="6">
        <v>5798</v>
      </c>
      <c r="U42" s="6">
        <v>3689</v>
      </c>
      <c r="V42" s="4">
        <v>1.6</v>
      </c>
      <c r="W42" s="4">
        <v>31.06</v>
      </c>
      <c r="X42" s="7">
        <v>8.5400000000000004E-2</v>
      </c>
      <c r="Y42" s="4">
        <v>149</v>
      </c>
    </row>
    <row r="43" spans="1:25" x14ac:dyDescent="0.25">
      <c r="A43" s="4" t="s">
        <v>60</v>
      </c>
      <c r="B43" s="6">
        <v>6619</v>
      </c>
      <c r="C43" s="6">
        <v>5628</v>
      </c>
      <c r="D43" s="4">
        <v>1.2</v>
      </c>
      <c r="E43" s="4">
        <v>30.85</v>
      </c>
      <c r="F43" s="7">
        <v>0.111</v>
      </c>
      <c r="G43" s="4">
        <v>200</v>
      </c>
      <c r="H43" s="6">
        <v>4999</v>
      </c>
      <c r="I43" s="6">
        <v>4257</v>
      </c>
      <c r="J43" s="4">
        <v>1.19</v>
      </c>
      <c r="K43" s="4">
        <v>28.79</v>
      </c>
      <c r="L43" s="7">
        <v>0.1305</v>
      </c>
      <c r="M43" s="4">
        <v>108</v>
      </c>
      <c r="N43" s="6">
        <v>5596</v>
      </c>
      <c r="O43" s="6">
        <v>4781</v>
      </c>
      <c r="P43" s="4">
        <v>1.19</v>
      </c>
      <c r="Q43" s="4">
        <v>28.46</v>
      </c>
      <c r="R43" s="7">
        <v>0.1082</v>
      </c>
      <c r="S43" s="4">
        <v>143</v>
      </c>
      <c r="T43" s="6">
        <v>4524</v>
      </c>
      <c r="U43" s="6">
        <v>3955</v>
      </c>
      <c r="V43" s="4">
        <v>1.1499999999999999</v>
      </c>
      <c r="W43" s="4">
        <v>26.94</v>
      </c>
      <c r="X43" s="7">
        <v>7.3599999999999999E-2</v>
      </c>
      <c r="Y43" s="4">
        <v>74</v>
      </c>
    </row>
    <row r="44" spans="1:25" x14ac:dyDescent="0.25">
      <c r="A44" s="4" t="s">
        <v>61</v>
      </c>
      <c r="B44" s="6">
        <v>6563</v>
      </c>
      <c r="C44" s="6">
        <v>4781</v>
      </c>
      <c r="D44" s="4">
        <v>1.4</v>
      </c>
      <c r="E44" s="4">
        <v>31</v>
      </c>
      <c r="F44" s="7">
        <v>8.4699999999999998E-2</v>
      </c>
      <c r="G44" s="4">
        <v>178</v>
      </c>
      <c r="H44" s="6">
        <v>6271</v>
      </c>
      <c r="I44" s="6">
        <v>4564</v>
      </c>
      <c r="J44" s="4">
        <v>1.39</v>
      </c>
      <c r="K44" s="4">
        <v>29.26</v>
      </c>
      <c r="L44" s="7">
        <v>0.10440000000000001</v>
      </c>
      <c r="M44" s="4">
        <v>146</v>
      </c>
      <c r="N44" s="6">
        <v>7450</v>
      </c>
      <c r="O44" s="6">
        <v>5273</v>
      </c>
      <c r="P44" s="4">
        <v>1.43</v>
      </c>
      <c r="Q44" s="4">
        <v>29.17</v>
      </c>
      <c r="R44" s="7">
        <v>8.5699999999999998E-2</v>
      </c>
      <c r="S44" s="4">
        <v>165</v>
      </c>
      <c r="T44" s="6">
        <v>7735</v>
      </c>
      <c r="U44" s="6">
        <v>5396</v>
      </c>
      <c r="V44" s="4">
        <v>1.44</v>
      </c>
      <c r="W44" s="4">
        <v>27.53</v>
      </c>
      <c r="X44" s="7">
        <v>6.7100000000000007E-2</v>
      </c>
      <c r="Y44" s="4">
        <v>141</v>
      </c>
    </row>
    <row r="45" spans="1:25" x14ac:dyDescent="0.25">
      <c r="A45" s="4" t="s">
        <v>62</v>
      </c>
      <c r="B45" s="6">
        <v>6463</v>
      </c>
      <c r="C45" s="6">
        <v>5115</v>
      </c>
      <c r="D45" s="4">
        <v>1.3</v>
      </c>
      <c r="E45" s="4">
        <v>31.22</v>
      </c>
      <c r="F45" s="7">
        <v>0.1139</v>
      </c>
      <c r="G45" s="4">
        <v>279</v>
      </c>
      <c r="H45" s="6">
        <v>4941</v>
      </c>
      <c r="I45" s="6">
        <v>3811</v>
      </c>
      <c r="J45" s="4">
        <v>1.32</v>
      </c>
      <c r="K45" s="4">
        <v>27.65</v>
      </c>
      <c r="L45" s="7">
        <v>9.7000000000000003E-2</v>
      </c>
      <c r="M45" s="4">
        <v>167</v>
      </c>
      <c r="N45" s="6">
        <v>5533</v>
      </c>
      <c r="O45" s="6">
        <v>4323</v>
      </c>
      <c r="P45" s="4">
        <v>1.3</v>
      </c>
      <c r="Q45" s="4">
        <v>27.51</v>
      </c>
      <c r="R45" s="7">
        <v>8.3799999999999999E-2</v>
      </c>
      <c r="S45" s="4">
        <v>169</v>
      </c>
      <c r="T45" s="6">
        <v>5749</v>
      </c>
      <c r="U45" s="6">
        <v>4572</v>
      </c>
      <c r="V45" s="4">
        <v>1.28</v>
      </c>
      <c r="W45" s="4">
        <v>26.77</v>
      </c>
      <c r="X45" s="7">
        <v>8.2600000000000007E-2</v>
      </c>
      <c r="Y45" s="4">
        <v>186</v>
      </c>
    </row>
    <row r="46" spans="1:25" x14ac:dyDescent="0.25">
      <c r="A46" s="4" t="s">
        <v>63</v>
      </c>
      <c r="B46" s="6">
        <v>6383</v>
      </c>
      <c r="C46" s="6">
        <v>5011</v>
      </c>
      <c r="D46" s="4">
        <v>1.29</v>
      </c>
      <c r="E46" s="4">
        <v>35.11</v>
      </c>
      <c r="F46" s="7">
        <v>9.3700000000000006E-2</v>
      </c>
      <c r="G46" s="4">
        <v>156</v>
      </c>
      <c r="H46" s="6">
        <v>6443</v>
      </c>
      <c r="I46" s="6">
        <v>4806</v>
      </c>
      <c r="J46" s="4">
        <v>1.35</v>
      </c>
      <c r="K46" s="4">
        <v>34.130000000000003</v>
      </c>
      <c r="L46" s="7">
        <v>0.1188</v>
      </c>
      <c r="M46" s="4">
        <v>139</v>
      </c>
      <c r="N46" s="6">
        <v>6940</v>
      </c>
      <c r="O46" s="6">
        <v>5243</v>
      </c>
      <c r="P46" s="4">
        <v>1.34</v>
      </c>
      <c r="Q46" s="4">
        <v>34.229999999999997</v>
      </c>
      <c r="R46" s="7">
        <v>9.0999999999999998E-2</v>
      </c>
      <c r="S46" s="4">
        <v>139</v>
      </c>
      <c r="T46" s="6">
        <v>4839</v>
      </c>
      <c r="U46" s="6">
        <v>3831</v>
      </c>
      <c r="V46" s="4">
        <v>1.27</v>
      </c>
      <c r="W46" s="4">
        <v>30.22</v>
      </c>
      <c r="X46" s="7">
        <v>4.4999999999999998E-2</v>
      </c>
      <c r="Y46" s="4">
        <v>94</v>
      </c>
    </row>
    <row r="47" spans="1:25" x14ac:dyDescent="0.25">
      <c r="A47" s="4" t="s">
        <v>64</v>
      </c>
      <c r="B47" s="6">
        <v>6241</v>
      </c>
      <c r="C47" s="6">
        <v>4811</v>
      </c>
      <c r="D47" s="4">
        <v>1.31</v>
      </c>
      <c r="E47" s="4">
        <v>32.659999999999997</v>
      </c>
      <c r="F47" s="7">
        <v>6.3E-2</v>
      </c>
      <c r="G47" s="4">
        <v>124</v>
      </c>
      <c r="H47" s="6">
        <v>4582</v>
      </c>
      <c r="I47" s="6">
        <v>3616</v>
      </c>
      <c r="J47" s="4">
        <v>1.29</v>
      </c>
      <c r="K47" s="4">
        <v>33.72</v>
      </c>
      <c r="L47" s="7">
        <v>0.12690000000000001</v>
      </c>
      <c r="M47" s="4">
        <v>118</v>
      </c>
      <c r="N47" s="6">
        <v>4837</v>
      </c>
      <c r="O47" s="6">
        <v>3794</v>
      </c>
      <c r="P47" s="4">
        <v>1.29</v>
      </c>
      <c r="Q47" s="4">
        <v>32.909999999999997</v>
      </c>
      <c r="R47" s="7">
        <v>9.6699999999999994E-2</v>
      </c>
      <c r="S47" s="4">
        <v>117</v>
      </c>
      <c r="T47" s="6">
        <v>4318</v>
      </c>
      <c r="U47" s="6">
        <v>3430</v>
      </c>
      <c r="V47" s="4">
        <v>1.28</v>
      </c>
      <c r="W47" s="4">
        <v>31.82</v>
      </c>
      <c r="X47" s="7">
        <v>8.2000000000000003E-2</v>
      </c>
      <c r="Y47" s="4">
        <v>129</v>
      </c>
    </row>
    <row r="48" spans="1:25" x14ac:dyDescent="0.25">
      <c r="A48" s="4" t="s">
        <v>65</v>
      </c>
      <c r="B48" s="6">
        <v>6120</v>
      </c>
      <c r="C48" s="6">
        <v>4768</v>
      </c>
      <c r="D48" s="4">
        <v>1.32</v>
      </c>
      <c r="E48" s="4">
        <v>31.24</v>
      </c>
      <c r="F48" s="7">
        <v>9.6299999999999997E-2</v>
      </c>
      <c r="G48" s="4">
        <v>268</v>
      </c>
      <c r="H48" s="6">
        <v>5466</v>
      </c>
      <c r="I48" s="6">
        <v>4325</v>
      </c>
      <c r="J48" s="4">
        <v>1.29</v>
      </c>
      <c r="K48" s="4">
        <v>29.11</v>
      </c>
      <c r="L48" s="7">
        <v>0.1246</v>
      </c>
      <c r="M48" s="4">
        <v>202</v>
      </c>
      <c r="N48" s="6">
        <v>7067</v>
      </c>
      <c r="O48" s="6">
        <v>5597</v>
      </c>
      <c r="P48" s="4">
        <v>1.3</v>
      </c>
      <c r="Q48" s="4">
        <v>29.9</v>
      </c>
      <c r="R48" s="7">
        <v>0.1166</v>
      </c>
      <c r="S48" s="4">
        <v>344</v>
      </c>
      <c r="T48" s="6">
        <v>6547</v>
      </c>
      <c r="U48" s="6">
        <v>5210</v>
      </c>
      <c r="V48" s="4">
        <v>1.29</v>
      </c>
      <c r="W48" s="4">
        <v>28.98</v>
      </c>
      <c r="X48" s="7">
        <v>6.1100000000000002E-2</v>
      </c>
      <c r="Y48" s="4">
        <v>280</v>
      </c>
    </row>
    <row r="49" spans="1:25" x14ac:dyDescent="0.25">
      <c r="A49" s="4" t="s">
        <v>66</v>
      </c>
      <c r="B49" s="6">
        <v>6100</v>
      </c>
      <c r="C49" s="6">
        <v>3956</v>
      </c>
      <c r="D49" s="4">
        <v>1.57</v>
      </c>
      <c r="E49" s="4">
        <v>0</v>
      </c>
      <c r="F49" s="7">
        <v>0</v>
      </c>
      <c r="G49" s="4">
        <v>172</v>
      </c>
      <c r="H49" s="6">
        <v>5675</v>
      </c>
      <c r="I49" s="6">
        <v>3738</v>
      </c>
      <c r="J49" s="4">
        <v>1.56</v>
      </c>
      <c r="K49" s="4">
        <v>0</v>
      </c>
      <c r="L49" s="7">
        <v>0</v>
      </c>
      <c r="M49" s="4">
        <v>188</v>
      </c>
      <c r="N49" s="6">
        <v>7002</v>
      </c>
      <c r="O49" s="6">
        <v>4221</v>
      </c>
      <c r="P49" s="4">
        <v>1.7</v>
      </c>
      <c r="Q49" s="4">
        <v>0</v>
      </c>
      <c r="R49" s="7">
        <v>0</v>
      </c>
      <c r="S49" s="4">
        <v>195</v>
      </c>
      <c r="T49" s="6">
        <v>4975</v>
      </c>
      <c r="U49" s="6">
        <v>3398</v>
      </c>
      <c r="V49" s="4">
        <v>1.52</v>
      </c>
      <c r="W49" s="4">
        <v>0</v>
      </c>
      <c r="X49" s="7">
        <v>0</v>
      </c>
      <c r="Y49" s="4">
        <v>216</v>
      </c>
    </row>
    <row r="50" spans="1:25" x14ac:dyDescent="0.25">
      <c r="A50" s="4" t="s">
        <v>67</v>
      </c>
      <c r="B50" s="6">
        <v>5956</v>
      </c>
      <c r="C50" s="6">
        <v>4739</v>
      </c>
      <c r="D50" s="4">
        <v>1.28</v>
      </c>
      <c r="E50" s="4">
        <v>34.229999999999997</v>
      </c>
      <c r="F50" s="7">
        <v>0.15409999999999999</v>
      </c>
      <c r="G50" s="4">
        <v>210</v>
      </c>
      <c r="H50" s="6">
        <v>4618</v>
      </c>
      <c r="I50" s="6">
        <v>3678</v>
      </c>
      <c r="J50" s="4">
        <v>1.27</v>
      </c>
      <c r="K50" s="4">
        <v>33.22</v>
      </c>
      <c r="L50" s="7">
        <v>0.1993</v>
      </c>
      <c r="M50" s="4">
        <v>152</v>
      </c>
      <c r="N50" s="6">
        <v>5261</v>
      </c>
      <c r="O50" s="6">
        <v>4195</v>
      </c>
      <c r="P50" s="4">
        <v>1.28</v>
      </c>
      <c r="Q50" s="4">
        <v>32.79</v>
      </c>
      <c r="R50" s="7">
        <v>0.1482</v>
      </c>
      <c r="S50" s="4">
        <v>187</v>
      </c>
      <c r="T50" s="6">
        <v>4196</v>
      </c>
      <c r="U50" s="6">
        <v>3359</v>
      </c>
      <c r="V50" s="4">
        <v>1.27</v>
      </c>
      <c r="W50" s="4">
        <v>31.08</v>
      </c>
      <c r="X50" s="7">
        <v>0.13619999999999999</v>
      </c>
      <c r="Y50" s="4">
        <v>131</v>
      </c>
    </row>
    <row r="51" spans="1:25" x14ac:dyDescent="0.25">
      <c r="A51" s="4" t="s">
        <v>68</v>
      </c>
      <c r="B51" s="6">
        <v>5891</v>
      </c>
      <c r="C51" s="6">
        <v>4245</v>
      </c>
      <c r="D51" s="4">
        <v>1.4</v>
      </c>
      <c r="E51" s="4">
        <v>28.37</v>
      </c>
      <c r="F51" s="7">
        <v>3.95E-2</v>
      </c>
      <c r="G51" s="4">
        <v>134</v>
      </c>
      <c r="H51" s="6">
        <v>4642</v>
      </c>
      <c r="I51" s="6">
        <v>3326</v>
      </c>
      <c r="J51" s="4">
        <v>1.41</v>
      </c>
      <c r="K51" s="4">
        <v>27.12</v>
      </c>
      <c r="L51" s="7">
        <v>7.6200000000000004E-2</v>
      </c>
      <c r="M51" s="4">
        <v>79</v>
      </c>
      <c r="N51" s="6">
        <v>4983</v>
      </c>
      <c r="O51" s="6">
        <v>3539</v>
      </c>
      <c r="P51" s="4">
        <v>1.43</v>
      </c>
      <c r="Q51" s="4">
        <v>26.37</v>
      </c>
      <c r="R51" s="7">
        <v>4.6699999999999998E-2</v>
      </c>
      <c r="S51" s="4">
        <v>114</v>
      </c>
      <c r="T51" s="6">
        <v>4700</v>
      </c>
      <c r="U51" s="6">
        <v>3312</v>
      </c>
      <c r="V51" s="4">
        <v>1.43</v>
      </c>
      <c r="W51" s="4">
        <v>26.95</v>
      </c>
      <c r="X51" s="7">
        <v>0.05</v>
      </c>
      <c r="Y51" s="4">
        <v>94</v>
      </c>
    </row>
    <row r="52" spans="1:25" x14ac:dyDescent="0.25">
      <c r="A52" s="4" t="s">
        <v>69</v>
      </c>
      <c r="B52" s="6">
        <v>5856</v>
      </c>
      <c r="C52" s="6">
        <v>4488</v>
      </c>
      <c r="D52" s="4">
        <v>1.32</v>
      </c>
      <c r="E52" s="4">
        <v>35.049999999999997</v>
      </c>
      <c r="F52" s="7">
        <v>0.1085</v>
      </c>
      <c r="G52" s="4">
        <v>132</v>
      </c>
      <c r="H52" s="6">
        <v>4369</v>
      </c>
      <c r="I52" s="6">
        <v>3341</v>
      </c>
      <c r="J52" s="4">
        <v>1.33</v>
      </c>
      <c r="K52" s="4">
        <v>33.51</v>
      </c>
      <c r="L52" s="7">
        <v>0.13250000000000001</v>
      </c>
      <c r="M52" s="4">
        <v>90</v>
      </c>
      <c r="N52" s="6">
        <v>5706</v>
      </c>
      <c r="O52" s="6">
        <v>4281</v>
      </c>
      <c r="P52" s="4">
        <v>1.35</v>
      </c>
      <c r="Q52" s="4">
        <v>33.97</v>
      </c>
      <c r="R52" s="7">
        <v>0.1066</v>
      </c>
      <c r="S52" s="4">
        <v>159</v>
      </c>
      <c r="T52" s="6">
        <v>4688</v>
      </c>
      <c r="U52" s="6">
        <v>3453</v>
      </c>
      <c r="V52" s="4">
        <v>1.38</v>
      </c>
      <c r="W52" s="4">
        <v>32.270000000000003</v>
      </c>
      <c r="X52" s="7">
        <v>8.9399999999999993E-2</v>
      </c>
      <c r="Y52" s="4">
        <v>136</v>
      </c>
    </row>
    <row r="53" spans="1:25" x14ac:dyDescent="0.25">
      <c r="A53" s="4" t="s">
        <v>70</v>
      </c>
      <c r="B53" s="6">
        <v>5852</v>
      </c>
      <c r="C53" s="6">
        <v>4924</v>
      </c>
      <c r="D53" s="4">
        <v>1.21</v>
      </c>
      <c r="E53" s="4">
        <v>42.56</v>
      </c>
      <c r="F53" s="7">
        <v>0.15959999999999999</v>
      </c>
      <c r="G53" s="4">
        <v>192</v>
      </c>
      <c r="H53" s="6">
        <v>4299</v>
      </c>
      <c r="I53" s="6">
        <v>3612</v>
      </c>
      <c r="J53" s="4">
        <v>1.23</v>
      </c>
      <c r="K53" s="4">
        <v>44.17</v>
      </c>
      <c r="L53" s="7">
        <v>0.30640000000000001</v>
      </c>
      <c r="M53" s="4">
        <v>200</v>
      </c>
      <c r="N53" s="6">
        <v>4513</v>
      </c>
      <c r="O53" s="6">
        <v>3805</v>
      </c>
      <c r="P53" s="4">
        <v>1.23</v>
      </c>
      <c r="Q53" s="4">
        <v>45.6</v>
      </c>
      <c r="R53" s="7">
        <v>0.31950000000000001</v>
      </c>
      <c r="S53" s="4">
        <v>225</v>
      </c>
      <c r="T53" s="6">
        <v>4626</v>
      </c>
      <c r="U53" s="6">
        <v>3915</v>
      </c>
      <c r="V53" s="4">
        <v>1.22</v>
      </c>
      <c r="W53" s="4">
        <v>42.29</v>
      </c>
      <c r="X53" s="7">
        <v>0.1923</v>
      </c>
      <c r="Y53" s="4">
        <v>197</v>
      </c>
    </row>
    <row r="54" spans="1:25" x14ac:dyDescent="0.25">
      <c r="A54" s="4" t="s">
        <v>71</v>
      </c>
      <c r="B54" s="6">
        <v>5567</v>
      </c>
      <c r="C54" s="6">
        <v>3053</v>
      </c>
      <c r="D54" s="4">
        <v>1.85</v>
      </c>
      <c r="E54" s="4">
        <v>26.14</v>
      </c>
      <c r="F54" s="7">
        <v>6.5799999999999997E-2</v>
      </c>
      <c r="G54" s="4">
        <v>114</v>
      </c>
      <c r="H54" s="6">
        <v>3771</v>
      </c>
      <c r="I54" s="6">
        <v>2255</v>
      </c>
      <c r="J54" s="4">
        <v>1.69</v>
      </c>
      <c r="K54" s="4">
        <v>24.53</v>
      </c>
      <c r="L54" s="7">
        <v>0.1293</v>
      </c>
      <c r="M54" s="4">
        <v>112</v>
      </c>
      <c r="N54" s="6">
        <v>3872</v>
      </c>
      <c r="O54" s="6">
        <v>2334</v>
      </c>
      <c r="P54" s="4">
        <v>1.68</v>
      </c>
      <c r="Q54" s="4">
        <v>26.18</v>
      </c>
      <c r="R54" s="7">
        <v>0.1353</v>
      </c>
      <c r="S54" s="4">
        <v>105</v>
      </c>
      <c r="T54" s="6">
        <v>4077</v>
      </c>
      <c r="U54" s="6">
        <v>2340</v>
      </c>
      <c r="V54" s="4">
        <v>1.76</v>
      </c>
      <c r="W54" s="4">
        <v>23.05</v>
      </c>
      <c r="X54" s="7">
        <v>7.9899999999999999E-2</v>
      </c>
      <c r="Y54" s="4">
        <v>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Verticals</vt:lpstr>
      <vt:lpstr>Chains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Bothwell Shumba</cp:lastModifiedBy>
  <dcterms:created xsi:type="dcterms:W3CDTF">2023-06-26T08:24:16Z</dcterms:created>
  <dcterms:modified xsi:type="dcterms:W3CDTF">2026-05-04T11:51:27Z</dcterms:modified>
</cp:coreProperties>
</file>